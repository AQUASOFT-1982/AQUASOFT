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فهرس العام" sheetId="1" r:id="rId1"/>
    <sheet name="الأمونيا السامة" sheetId="2" r:id="rId2"/>
    <sheet name="الأكسجين والتهوية" sheetId="3" r:id="rId3"/>
    <sheet name="كمية العلف" sheetId="4" r:id="rId4"/>
    <sheet name="تركيب الأعلاف" sheetId="5" r:id="rId5"/>
    <sheet name="تصحيح المياه" sheetId="6" r:id="rId6"/>
    <sheet name="المطهرات والأدوية" sheetId="7" r:id="rId7"/>
    <sheet name="سجل المزرعة" sheetId="8" r:id="rId8"/>
    <sheet name="جدول المعادلات المجمع" sheetId="9" r:id="rId9"/>
  </sheets>
  <calcPr calcId="124519" fullCalcOnLoad="1"/>
</workbook>
</file>

<file path=xl/sharedStrings.xml><?xml version="1.0" encoding="utf-8"?>
<sst xmlns="http://schemas.openxmlformats.org/spreadsheetml/2006/main" count="832" uniqueCount="386">
  <si>
    <t>منصة أكوا سوفت AQUASoft — الدليل المرجعي الشامل للمعادلات والحسابات العلمية</t>
  </si>
  <si>
    <t>جميع المعادلات الرياضية، الكيميائية، والبيولوجية المستخدمة في أدوات المنصة</t>
  </si>
  <si>
    <t>م</t>
  </si>
  <si>
    <t>اسم الأداة البرمجية</t>
  </si>
  <si>
    <t>التصنيف العلمي</t>
  </si>
  <si>
    <t>الوظيفة الحسابية الرئيسية</t>
  </si>
  <si>
    <t>عدد المعادلات</t>
  </si>
  <si>
    <t>الملف المصدري</t>
  </si>
  <si>
    <t>حاسبة الأمونيا السامة (Ammonia Calculator)</t>
  </si>
  <si>
    <t>جودة المياه / كيمياء حيوية</t>
  </si>
  <si>
    <t>حساب نسبة وتركيز الأمونيا غير المتأينة السامة بدلالة pH، الحرارة، والملوحة</t>
  </si>
  <si>
    <t>9 معادلات</t>
  </si>
  <si>
    <t>tools/ammonia.html</t>
  </si>
  <si>
    <t>حاسبة الأكسجين والتهوية (Oxygen Calculator)</t>
  </si>
  <si>
    <t>التهوية / فسيولوجيا الأسماك</t>
  </si>
  <si>
    <t>حساب استهلاك الأكسجين للأسماك والبكتيريا وتقدير قدرة أجهزة التهوية وساعات التشغيل</t>
  </si>
  <si>
    <t>tools/oxygen.html</t>
  </si>
  <si>
    <t>حاسبة كمية العلف اليومي (Feed Calculator)</t>
  </si>
  <si>
    <t>تغذية الأسماك والإنتاج</t>
  </si>
  <si>
    <t>حساب كمية العلف اليومي، كتلة البروتين، وانبعاثات النيتروجين والأمونيا وتوصيات الحبيبات</t>
  </si>
  <si>
    <t>8 معادلات</t>
  </si>
  <si>
    <t>tools/feed.html</t>
  </si>
  <si>
    <t>حاسبة وتركيب الأعلاف (Feed Formulation)</t>
  </si>
  <si>
    <t>تغذية ومصانع الأعلاف</t>
  </si>
  <si>
    <t>حساب القيمة الغذائية المرجحة للخلطة (بروتين، طاقة، ألياف، دهون، معادن)، التكلفة، ومربع بيرسون</t>
  </si>
  <si>
    <t>15 معادلة</t>
  </si>
  <si>
    <t>tools/feed-formulation.html</t>
  </si>
  <si>
    <t>حاسبة تصحيح المياه (Water Corrector)</t>
  </si>
  <si>
    <t>إدارة جودة المياه</t>
  </si>
  <si>
    <t>حساب معدلات تصحيح الـ pH، النترات وتغيير المياه، وإضافة الملح لضبط الملوحة</t>
  </si>
  <si>
    <t>5 معادلات</t>
  </si>
  <si>
    <t>tools/water-corrector.html</t>
  </si>
  <si>
    <t>دليل المطهرات والأدوية (Disinfectant Calculator)</t>
  </si>
  <si>
    <t>الأمن الحيوي وصحة الأسماك</t>
  </si>
  <si>
    <t>حساب جرعات المعاملات المائية (بالفدان و m³ و ppm) والمضادات الحيوية وإضافات الأعلاف</t>
  </si>
  <si>
    <t>6 معادلات</t>
  </si>
  <si>
    <t>tools/disinfectans.html</t>
  </si>
  <si>
    <t>سجل المزرعة وتقييم الجودة (Farm Log Book)</t>
  </si>
  <si>
    <t>إدارة السجلات والتقييم</t>
  </si>
  <si>
    <t>حساب مؤشر جودة المياه التراكمي ونسب تقييم الظروف البيئية</t>
  </si>
  <si>
    <t>2 معادلة</t>
  </si>
  <si>
    <t>tools/log-book.html</t>
  </si>
  <si>
    <t>—</t>
  </si>
  <si>
    <t>جدول المعادلات المجمع (Master Sheet)</t>
  </si>
  <si>
    <t>مرجع شامل موحد</t>
  </si>
  <si>
    <t>تجميع كافة المعادلات في جدول موحد مع الصيغ الرياضية وصيغ إكسيل النموذجية</t>
  </si>
  <si>
    <t>54 معادلة</t>
  </si>
  <si>
    <t>All Tools</t>
  </si>
  <si>
    <t>حاسبة الأمونيا غير المتأينة السامة (Toxic Ammonia Calculator)</t>
  </si>
  <si>
    <t>المرجع العلمي: Emerson et al. (1975) &amp; Khoo et al. (1977)</t>
  </si>
  <si>
    <t>اسم المتغير المحسوب</t>
  </si>
  <si>
    <t>الرمز</t>
  </si>
  <si>
    <t>المعادلة الرياضية العلمية</t>
  </si>
  <si>
    <t>صيغة إكسيل التوضيحية (Excel Formula)</t>
  </si>
  <si>
    <t>المدخلات والمتغيرات المطلوبة</t>
  </si>
  <si>
    <t>وحدة القياس</t>
  </si>
  <si>
    <t>المرجع العلمي والتطبيق</t>
  </si>
  <si>
    <t>درجة الحرارة المطلقة (Kelvin)</t>
  </si>
  <si>
    <t>Tk</t>
  </si>
  <si>
    <t>Tk = T_celsius + 273.2</t>
  </si>
  <si>
    <t>T_celsius: درجة حرارة الماء بالدرجة المئوية</t>
  </si>
  <si>
    <t>Kelvin (K)</t>
  </si>
  <si>
    <t>تحويل درجة الحرارة للمقياس المطلق لاستخدامه في معادلات الديناميكا الحرارية</t>
  </si>
  <si>
    <t>القوة الأيونية للمياه المالحة (Ionic Strength)</t>
  </si>
  <si>
    <t>I</t>
  </si>
  <si>
    <t>I = (19.973 * S) / (1000 - 1.2005109 * S)</t>
  </si>
  <si>
    <t>S: ملوحة المياه (Salinity ppt)</t>
  </si>
  <si>
    <t>mol/kg (بلا أبعاد)</t>
  </si>
  <si>
    <t>معادلة Khoo et al. (1977) لحساب القوة الأيونية للمياه المالحة</t>
  </si>
  <si>
    <t>ثابت التفكك للمياه العذبة (pKa Fresh Water)</t>
  </si>
  <si>
    <t>pKa_fresh</t>
  </si>
  <si>
    <t>pKa = 0.0901821 + (2729.92 / Tk)</t>
  </si>
  <si>
    <t>Tk: درجة الحرارة المطلقة كلفن</t>
  </si>
  <si>
    <t>بلا أبعاد</t>
  </si>
  <si>
    <t>معادلة إمرسون Emerson et al. (1975) المعتمدة دولياً في الاستزراع المائي</t>
  </si>
  <si>
    <t>ثابت التفكك للمياه المالحة (pKa Saline Water)</t>
  </si>
  <si>
    <t>pKa_saline</t>
  </si>
  <si>
    <t>pKa = 0.0901821 + (2729.92 / Tk) + (0.1552 - 0.0003142 * T_celsius) * I</t>
  </si>
  <si>
    <t>Tk: كلفن، T_celsius: مئوي، I: القوة الأيونية</t>
  </si>
  <si>
    <t>معادلة خو Khoo et al. (1977) لتصحيح التفكك وفق تركيز أيونات الأملاح</t>
  </si>
  <si>
    <t>نسبة الأمونيا غير المتأينة السامة (Toxic Fraction)</t>
  </si>
  <si>
    <t>f</t>
  </si>
  <si>
    <t>f = 1 / (10^(pKa - pH) + 1)</t>
  </si>
  <si>
    <t>pKa: ثابت التفكك، pH: درجة حموضة الماء</t>
  </si>
  <si>
    <t>كسر عشري (0 - 1)</t>
  </si>
  <si>
    <t>معادلة التوازن الكيميائي الأساسية بين الأمونيوم والأمونيا الحرة السامة</t>
  </si>
  <si>
    <t>تركيز نيتروجين الأمونيا السامة (Toxic NH3-N)</t>
  </si>
  <si>
    <t>NH3-N</t>
  </si>
  <si>
    <t>NH3-N = TAN * f</t>
  </si>
  <si>
    <t>TAN: الأمونيا الكلية المقاسة (Total Ammonia Nitrogen mg/L)</t>
  </si>
  <si>
    <t>mg/L (ملغم/لتر)</t>
  </si>
  <si>
    <t>جزء النيتروجين الموجود في صورة أمونيا غير متأينة سامة</t>
  </si>
  <si>
    <t>تركيز الأمونيا السامة كمركب كلي (Toxic NH3)</t>
  </si>
  <si>
    <t>NH3</t>
  </si>
  <si>
    <t>NH3 = NH3-N * (17 / 14)</t>
  </si>
  <si>
    <t>NH3-N: تركيز نيتروجين الأمونيا</t>
  </si>
  <si>
    <t>الوزن الجزيئي للأمونيا (17) مقسوماً على الوزن الذري للنيتروجين (14) = 1.214</t>
  </si>
  <si>
    <t>النسبة المئوية لسمية الأمونيا (Toxicity %)</t>
  </si>
  <si>
    <t>Toxic %</t>
  </si>
  <si>
    <t>Toxic % = f * 100</t>
  </si>
  <si>
    <t>f: النسبة المحسوبة للأمونيا السامة</t>
  </si>
  <si>
    <t>% (نسبة مئوية)</t>
  </si>
  <si>
    <t>نسبة الأمونيا السامة من إجمالي الأمونيا الكلية في الحوض</t>
  </si>
  <si>
    <t>نسبة خفض السمية بفعل الملوحة (Salinity Toxicity Reduction)</t>
  </si>
  <si>
    <t>Red %</t>
  </si>
  <si>
    <t>Reduction % = ((NH3_fresh - NH3_saline) / NH3_fresh) * 100</t>
  </si>
  <si>
    <t>NH3_fresh: السمية بالعذب، NH3_saline: السمية بالمالح</t>
  </si>
  <si>
    <t>توضيح الأثر الوقائي للملوحة حيث ترفع قيمة pKa وتقلل سمية الأمونيا الحرة</t>
  </si>
  <si>
    <t>حاسبة استهلاك الأكسجين ومعدات التهوية (Oxygen &amp; Aeration Calculator)</t>
  </si>
  <si>
    <t>المعادلات الأيضية للاستهلاك التنفسي والميكروبي وفق درجة الحرارة ومعاملات الجودة</t>
  </si>
  <si>
    <t>معدل استهلاك الأسماك الأساسي (Base Respiration)</t>
  </si>
  <si>
    <t>R_base</t>
  </si>
  <si>
    <t>R_base = 300 + (2 * WaterTemp)</t>
  </si>
  <si>
    <t>WaterTemp: درجة حرارة الماء بالمئوي (°C)</t>
  </si>
  <si>
    <t>mg O2 / kg fish / hr</t>
  </si>
  <si>
    <t>المعدل الاستقلابي الأساسي للتنفس بزيادة 2 ملجم لكل درجة مئوية</t>
  </si>
  <si>
    <t>استهلاك كتلة الأسماك الحية الساعي (Fish DO Consumption)</t>
  </si>
  <si>
    <t>C_fish</t>
  </si>
  <si>
    <t>C_fish = FishWeight * (300 + 2 * WaterTemp) * FishTypeFactor</t>
  </si>
  <si>
    <t>FishWeight: وزن الأسماك (كجم)، FishTypeFactor: معامل النوع</t>
  </si>
  <si>
    <t>mg O2 / hr (ملجم/ساعة)</t>
  </si>
  <si>
    <t>معامل النوع: بلطي (1.0)، قاروص ودنيس (1.2)، جمبري (1.1)، مبروك (0.95)، قراميط (0.8)</t>
  </si>
  <si>
    <t>استهلاك البكتيريا والمادة العضوية (Microbial DO Demand)</t>
  </si>
  <si>
    <t>C_bacteria</t>
  </si>
  <si>
    <t>C_bacteria = FeedingRate * 500 * WaterQualityFactor</t>
  </si>
  <si>
    <t>FeedingRate: العلف اليومي (كجم/يوم)، WaterQualityFactor: جودة المياه</t>
  </si>
  <si>
    <t>كل كجم علف يستهلك حوالي 500 ملجم أكسجين/ساعة بفعل هضم وتحلل البكتيريا</t>
  </si>
  <si>
    <t>إجمالي الاستهلاك الساعي للأكسجين (Total Hourly Consumption)</t>
  </si>
  <si>
    <t>C_hourly</t>
  </si>
  <si>
    <t>C_hourly = C_fish + C_bacteria</t>
  </si>
  <si>
    <t>C_fish: استهلاك الأسماك، C_bacteria: استهلاك البكتيريا</t>
  </si>
  <si>
    <t>إجمالي الأكسجين المذاب المستهلك في الحوض خلال ساعة واحدة</t>
  </si>
  <si>
    <t>إجمالي استهلاك الأكسجين اليومي (Total Daily Consumption)</t>
  </si>
  <si>
    <t>C_daily</t>
  </si>
  <si>
    <t>C_daily = (C_hourly * 24) / 1,000,000</t>
  </si>
  <si>
    <t>C_hourly: الاستهلاك الساعي بالملجم</t>
  </si>
  <si>
    <t>kg O2 / day (كجم/يوم)</t>
  </si>
  <si>
    <t>الوزن الصافي بالأكسجين النقي المطلوب يومياً للحوض بالكامل</t>
  </si>
  <si>
    <t>الحد الأدنى للأكسجين المذاب بالحوض (Minimum DO Required)</t>
  </si>
  <si>
    <t>DO_min</t>
  </si>
  <si>
    <t>DO_min = 5 mg/L * PondVolume * 1000</t>
  </si>
  <si>
    <t>PondVolume: حجم الحوض بالمتر المكعب (m³)</t>
  </si>
  <si>
    <t>mg O2 (أو 5 جم/م³)</t>
  </si>
  <si>
    <t>الحد الحرج الموصى به 5 ملجم/لتر لضمان حيوية ونمو الأسماك بدون إجهاد</t>
  </si>
  <si>
    <t>كثافة الأسماك بالحوض (Stocking Density)</t>
  </si>
  <si>
    <t>Density</t>
  </si>
  <si>
    <t>Density = FishCount / PondVolume</t>
  </si>
  <si>
    <t>FishCount: عدد الأسماك، PondVolume: حجم الحوض (m³)</t>
  </si>
  <si>
    <t>fish / m³ (سمكة/م³)</t>
  </si>
  <si>
    <t>كثافة التخزين لتحديد نوع نظام الاستزراع (مفتوح، شبه مكثف، مكثف)</t>
  </si>
  <si>
    <t>قدرة التهوية المطلوبة بالساعة (Aerator Output Requirement)</t>
  </si>
  <si>
    <t>Cap_hr</t>
  </si>
  <si>
    <t>Cap_hr = C_daily / 24 = (C_hourly / 1,000,000)</t>
  </si>
  <si>
    <t>C_daily: الاستهلاك اليومي بالكجم</t>
  </si>
  <si>
    <t>kg O2 / hr (كجم أكسجين/ساعة)</t>
  </si>
  <si>
    <t>المعيار لاختيار قدرة أجهزة التهوية: نافخ هواء، بدالات، أو حواقن</t>
  </si>
  <si>
    <t>ساعات تشغيل التهوية الموصى بها (Operating Duration)</t>
  </si>
  <si>
    <t>Duration</t>
  </si>
  <si>
    <t>Duration = f(WaterTemp, HourlyNeedKg)</t>
  </si>
  <si>
    <t>WaterTemp: درجة الحرارة، HourlyNeedKg: الاحتياج الساعي</t>
  </si>
  <si>
    <t>ساعات / يوم (Hours/day)</t>
  </si>
  <si>
    <t>موجات الحر: 24 ساعة؛ حمولة عالية (&gt;3 كجم/س): 12 ساعة؛ متوسطة: 8 س؛ عادية: 4-6 س</t>
  </si>
  <si>
    <t>حاسبة كمية العلف وانبعاثات النيتروجين والأمونيا (Daily Feed Calculator)</t>
  </si>
  <si>
    <t>معادلات الكتلة الحية، جداول الاستيفاء، تصحيح الحرارة، والتوازن البيوجيوكيميائي</t>
  </si>
  <si>
    <t>الكتلة الحية الكلية للأسماك (Total Biomass)</t>
  </si>
  <si>
    <t>Biomass</t>
  </si>
  <si>
    <t>Biomass = (FishWeight * FishCount) / 1000</t>
  </si>
  <si>
    <t>FishWeight: متوسط وزن السمكة (جم)، FishCount: العدد</t>
  </si>
  <si>
    <t>kg (كجم)</t>
  </si>
  <si>
    <t>الوزن الإجمالي الحي للأسماك في الحوض بالكيلوجرام</t>
  </si>
  <si>
    <t>معدل تغذية البلطي بالاستيفاء الثنائي (Tilapia 2D Interpolation)</t>
  </si>
  <si>
    <t>Rate_tilapia</t>
  </si>
  <si>
    <t>Rate % = R1 + (Temp - T1) * ((R2 - R1) / (T2 - T1))</t>
  </si>
  <si>
    <t>Temp: الحرارة، R1, R2: معدلات الجدول عند درجات الحرارة المجاورة</t>
  </si>
  <si>
    <t>% BW / day (نسبة من الوزن)</t>
  </si>
  <si>
    <t>جداول التغذية العلمية للبلطي لدرجات الحرارة (16-32°م) ونسب البروتين (25-32%)</t>
  </si>
  <si>
    <t>معامل تصحيح الحرارة للأنواع البحرية والجمبري (Temp Factor)</t>
  </si>
  <si>
    <t>F_temp</t>
  </si>
  <si>
    <t>F_temp = piecewise_function(Temp, OptMin, OptMax)</t>
  </si>
  <si>
    <t>Temp: الحرارة، OptMin, OptMax: المدى المثالي للنوع</t>
  </si>
  <si>
    <t>معامل مضاعف (0.3 - 1.0)</t>
  </si>
  <si>
    <t>يخفض استهلاك العلف تدريجياً خارج النطاق الحراري الفسيولوجي الأمثل للكائن</t>
  </si>
  <si>
    <t>معدل التغذية للأنواع البحرية والجمبري (Marine Feeding Rate)</t>
  </si>
  <si>
    <t>Rate_marine</t>
  </si>
  <si>
    <t>Rate % = StageBaseRate % * F_temp</t>
  </si>
  <si>
    <t>StageBaseRate: معدل الطور العمري بالجدول، F_temp: معامل الحرارة</t>
  </si>
  <si>
    <t>جداول الدنيس، القاروص، اللوت، والجمبري المقسمة حسب أوزان الأطوار العمرية</t>
  </si>
  <si>
    <t>كمية العلف اليومي الإجمالي (Daily Feed Amount)</t>
  </si>
  <si>
    <t>DailyFeed</t>
  </si>
  <si>
    <t>DailyFeed = Biomass * (Rate % / 100)</t>
  </si>
  <si>
    <t>Biomass: الكتلة الحية (كجم)، Rate: معدل التغذية (%)</t>
  </si>
  <si>
    <t>kg / day (كجم علف/يوم)</t>
  </si>
  <si>
    <t>كمية العلف الواجب تقديمها يومياً وموزعة على الوجبات الموصى بها</t>
  </si>
  <si>
    <t>كتلة البروتين اليومي المدخل (Daily Protein Mass)</t>
  </si>
  <si>
    <t>ProteinMass</t>
  </si>
  <si>
    <t>ProteinMass = DailyFeed * (Protein % / 100)</t>
  </si>
  <si>
    <t>DailyFeed: العلف اليومي، Protein %: نسبة بروتين العلف (25% - 54%)</t>
  </si>
  <si>
    <t>kg / day (كجم بروتين/يوم)</t>
  </si>
  <si>
    <t>الوزن الصافي للبروتين الخام المدخل يومياً إلى المنظومة المائية</t>
  </si>
  <si>
    <t>انبعاث النيتروجين اليومي (Daily Nitrogen Emission)</t>
  </si>
  <si>
    <t>N_emission</t>
  </si>
  <si>
    <t>N_emission = ProteinMass * 0.16</t>
  </si>
  <si>
    <t>ProteinMass: كتلة البروتين اليومي بالكجم</t>
  </si>
  <si>
    <t>kg N / day (كجم نيتروجين/يوم)</t>
  </si>
  <si>
    <t>النسبة الكيميائية الحيوية الثابتة للنيتروجين في البروتين الخام (16% N)</t>
  </si>
  <si>
    <t>انبعاث الأمونيا الكلي المتوقع (Ammonia Emission)</t>
  </si>
  <si>
    <t>NH3_emission</t>
  </si>
  <si>
    <t>NH3_emission = N_emission * (17 / 14) = N_emission * 1.214</t>
  </si>
  <si>
    <t>N_emission: انبعاث النيتروجين بالكجم</t>
  </si>
  <si>
    <t>kg NH3 / day (كجم أمونيا/يوم)</t>
  </si>
  <si>
    <t>النسبة الجزيئية بين الأمونيا والنيتروجين (17 جم مول NH3 / 14 جم مول N)</t>
  </si>
  <si>
    <t>حاسبة تركيب الأعلاف الشاملة ومربع بيرسون (Feed Formulation &amp; Pearson Square)</t>
  </si>
  <si>
    <t>معادلات الحساب الغذائي المرجح، التكلفة الاقتصادية، والخلط الثنائي الدقيق</t>
  </si>
  <si>
    <t>وزن الخامة في التشغيلة (Ingredient Batch Weight)</t>
  </si>
  <si>
    <t>Weight_i</t>
  </si>
  <si>
    <t>Weight_i = BatchSize * (Percent_i / 100)</t>
  </si>
  <si>
    <t>BatchSize: حجم التشغيلة الكلي (كجم)، Percent_i: نسبة الخامة بالخلطة (%)</t>
  </si>
  <si>
    <t>الوزن الفعلي لكل خامة يجب وزنه وخلطه داخل الخلاط</t>
  </si>
  <si>
    <t>البروتين الخام المرجح للخلطة (Crude Protein CP %)</t>
  </si>
  <si>
    <t>CP_mix</t>
  </si>
  <si>
    <t>CP_mix % = SUM( CP_i % * (Percent_i / 100) )</t>
  </si>
  <si>
    <t>CP_i: بروتين الخامة i، Percent_i: نسبة الخامة i في الخلطة</t>
  </si>
  <si>
    <t>المتوسط المرجح للبروتين الخام بالخلطة لمطابقة الاحتياج الغذائي للنوع</t>
  </si>
  <si>
    <t>الطاقة المهضومة المرجحة (Digestible Energy DE)</t>
  </si>
  <si>
    <t>DE_mix</t>
  </si>
  <si>
    <t>DE_mix = SUM( DE_i * (Percent_i / 100) )</t>
  </si>
  <si>
    <t>DE_i: الطاقة المهضومة لكل خامة (kcal/kg)</t>
  </si>
  <si>
    <t>kcal / kg (كيلوكالوري/كجم)</t>
  </si>
  <si>
    <t>الطاقة المهضومة الفعلية المتاحة للكائن المائي للاستفادة والنمو</t>
  </si>
  <si>
    <t>الطاقة الممثلة المرجحة (Metabolizable Energy ME)</t>
  </si>
  <si>
    <t>ME_mix</t>
  </si>
  <si>
    <t>ME_mix = SUM( ME_i * (Percent_i / 100) )</t>
  </si>
  <si>
    <t>ME_i: الطاقة الممثلة لكل خامة (kcal/kg)</t>
  </si>
  <si>
    <t>الطاقة الممثلة الصافية بعد خصم فواقد الإخراج البولي والخيشومي</t>
  </si>
  <si>
    <t>مجموع المركبات المهضومة (Total Digestible Nutrients)</t>
  </si>
  <si>
    <t>TDN_mix</t>
  </si>
  <si>
    <t>TDN_mix % = SUM( TDN_i % * (Percent_i / 100) )</t>
  </si>
  <si>
    <t>TDN_i: نسبة TDN لكل خامة (%)</t>
  </si>
  <si>
    <t>مقياس طاقة كلاسيكي معتمد لأعلاف المجترات والأسماك</t>
  </si>
  <si>
    <t>الدهن الخام / مستخلص الإيثر (Ether Extract EE %)</t>
  </si>
  <si>
    <t>EE_mix</t>
  </si>
  <si>
    <t>EE_mix % = SUM( EE_i % * (Percent_i / 100) )</t>
  </si>
  <si>
    <t>EE_i: نسبة الدهن الخام في الخامة (%)</t>
  </si>
  <si>
    <t>مصدر الأحماض الدهنية الأساسية والطاقة المركزة في حبيبات العلف</t>
  </si>
  <si>
    <t>الألياف الخام المرجحة (Crude Fiber CF %)</t>
  </si>
  <si>
    <t>CF_mix</t>
  </si>
  <si>
    <t>CF_mix % = SUM( CF_i % * (Percent_i / 100) )</t>
  </si>
  <si>
    <t>CF_i: نسبة الألياف الخام في الخامة (%)</t>
  </si>
  <si>
    <t>يجب ألا تزيد في أعلاف الأسماك عن 3-6% لتجنب انخفاض الهضم وتلوث القاع</t>
  </si>
  <si>
    <t>الكالسيوم المرجح للخلطة (Calcium Ca %)</t>
  </si>
  <si>
    <t>Ca_mix</t>
  </si>
  <si>
    <t>Ca_mix % = SUM( Ca_i % * (Percent_i / 100) )</t>
  </si>
  <si>
    <t>Ca_i: نسبة الكالسيوم في الخامة (%)</t>
  </si>
  <si>
    <t>بناء الهيكل العظمي وقشور الجمبري ومنع التشوهات</t>
  </si>
  <si>
    <t>الفوسفور المتاح المرجح (Available Phosphorus P %)</t>
  </si>
  <si>
    <t>P_mix</t>
  </si>
  <si>
    <t>P_mix % = SUM( P_i % * (Percent_i / 100) )</t>
  </si>
  <si>
    <t>P_i: نسبة الفوسفور في الخامة (%)</t>
  </si>
  <si>
    <t>عنصر غذائي محدد للنمو والتمثيل الغذائي وتكوين الدهون الفوسفاتية</t>
  </si>
  <si>
    <t>تكلفة التشغيلة الإجمالية (Total Batch Cost)</t>
  </si>
  <si>
    <t>Cost_batch</t>
  </si>
  <si>
    <t>Cost_batch = SUM( Weight_i * (PricePerTon_i / 1000) )</t>
  </si>
  <si>
    <t>Weight_i: وزن الخامة بالتشغيلة (كجم)، PricePerTon_i: سعر الطن بالعملة</t>
  </si>
  <si>
    <t>جنيه / عملة (EGP / Currency)</t>
  </si>
  <si>
    <t>إجمالي التكلفة المادية لكافة الخامات المستخدمة في حجم التشغيلة</t>
  </si>
  <si>
    <t>تكلفة الكيلوجرام من العلف (Cost per kg Feed)</t>
  </si>
  <si>
    <t>Cost_kg</t>
  </si>
  <si>
    <t>Cost_kg = Cost_batch / EffectiveBatchWeight_kg</t>
  </si>
  <si>
    <t>Cost_batch: تكلفة التشغيلة، EffectiveBatchWeight: وزن التشغيلة الفعلي</t>
  </si>
  <si>
    <t>جنيه/كجم (EGP / kg)</t>
  </si>
  <si>
    <t>مؤشر التكلفة للوحدة لتحديد سعر بيع العلف أو تكلفة التغذية المزرعية</t>
  </si>
  <si>
    <t>تكلفة طن العلف الإجمالية (Cost per Metric Ton)</t>
  </si>
  <si>
    <t>Cost_ton</t>
  </si>
  <si>
    <t>Cost_ton = Cost_kg * 1000</t>
  </si>
  <si>
    <t>Cost_kg: تكلفة الكيلوجرام الواحد</t>
  </si>
  <si>
    <t>جنيه/طن (EGP / Ton)</t>
  </si>
  <si>
    <t>التكلفة الإجمالية القياسية لطن العلف المصنع</t>
  </si>
  <si>
    <t>مربع بيرسون - أجزاء الخامة 1 (Pearson Parts 1)</t>
  </si>
  <si>
    <t>Parts_1</t>
  </si>
  <si>
    <t>Parts_1 = ABS( TargetProtein - CP_Ingredient_2 )</t>
  </si>
  <si>
    <t>TargetProtein: البروتين المطلوب، CP2: بروتين الخامة الثانية</t>
  </si>
  <si>
    <t>أجزاء (Parts)</t>
  </si>
  <si>
    <t>الفرق المطلق بين النسبة المستهدفة ونسبة بروتين الخامة الأخرى</t>
  </si>
  <si>
    <t>مربع بيرسون - أجزاء الخامة 2 (Pearson Parts 2)</t>
  </si>
  <si>
    <t>Parts_2</t>
  </si>
  <si>
    <t>Parts_2 = ABS( CP_Ingredient_1 - TargetProtein )</t>
  </si>
  <si>
    <t>TargetProtein: البروتين المطلوب، CP1: بروتين الخامة الأولى</t>
  </si>
  <si>
    <t>الفرق المطلق بين نسبة بروتين الخامة الأولى والنسبة المستهدفة</t>
  </si>
  <si>
    <t>مربع بيرسون - النسبة المئوية للخلط (Pearson Percentages)</t>
  </si>
  <si>
    <t>%_1 , %_2</t>
  </si>
  <si>
    <t>%_1 = (Parts_1 / TotalParts) * 100 ; %_2 = (Parts_2 / TotalParts) * 100</t>
  </si>
  <si>
    <t>Parts_1, Parts_2: أجزاء الخامتين، TotalParts = Parts_1 + Parts_2</t>
  </si>
  <si>
    <t>النسبة المئوية الدقيقة الواجب إضافتها من كل خامة لتحقيق البروتين المستهدف</t>
  </si>
  <si>
    <t>حاسبة تصحيح معايير المياه والبيئة (Water Corrector Calculator)</t>
  </si>
  <si>
    <t>معادلات تعديل النترات بتغيير المياه، رفع الملوحة بالملح، وأكسجين الحرارة</t>
  </si>
  <si>
    <t>الطلب الاستقلابي للأكسجين تبعا للحرارة (Temp DO Demand)</t>
  </si>
  <si>
    <t>DO_demand</t>
  </si>
  <si>
    <t>DO_demand = 300 + (2.5 * Temp_celsius)</t>
  </si>
  <si>
    <t>Temp_celsius: درجة حرارة الماء (°C)</t>
  </si>
  <si>
    <t>تقدير الزيادة في استهلاك الأكسجين مع ارتفاع الحرارة لجدولة التهوية</t>
  </si>
  <si>
    <t>نسبة الأمونيا السامة FDEP (Florida DEP Equation)</t>
  </si>
  <si>
    <t>f_FDEP</t>
  </si>
  <si>
    <t>f = 1 / ( 10^( (0.09018 + 2729.92/(Temp+273.15)) - pH ) + 1 )</t>
  </si>
  <si>
    <t>Temp: الحرارة مئوي، pH: الأس الهيدروجيني</t>
  </si>
  <si>
    <t>صيغة وكالة حماية البيئة بولاية فلوريدا المعتمدة لمعايرة سمية الأمونيا</t>
  </si>
  <si>
    <t>نسبة تغيير المياه المطلوبة لخفض النترات (Exchange %)</t>
  </si>
  <si>
    <t>Exch %</t>
  </si>
  <si>
    <t>Exchange % = ((Nitrate_current - Nitrate_target) / Nitrate_current) * 100</t>
  </si>
  <si>
    <t>Nitrate_current: النترات الحالية، Nitrate_target: النترات المستهدفة</t>
  </si>
  <si>
    <t>% (نسبة مئوية من الحوض)</t>
  </si>
  <si>
    <t>نسبة التخفيف المائي المطلوبة لخفض تركيز النترات المتراكمة</t>
  </si>
  <si>
    <t>حجم المياه الفعلي المطلوب تغييره (Water Exchange Volume)</t>
  </si>
  <si>
    <t>Exch_Vol</t>
  </si>
  <si>
    <t>Exchange Volume (m³) = PondVolume * (Exchange % / 100)</t>
  </si>
  <si>
    <t>PondVolume: حجم الحوض الكلي بالمتر المكعب (m³)، Exchange %: النسبة</t>
  </si>
  <si>
    <t>m³ (متر مكعب) = 1000 لتر</t>
  </si>
  <si>
    <t>الحجم الهندسي للمياه الواجب صرفها وتجديدها في الحوض</t>
  </si>
  <si>
    <t>كمية الملح المطلوبة لرفع الملوحة (Salt Requirement)</t>
  </si>
  <si>
    <t>Salt_kg</t>
  </si>
  <si>
    <t>Salt (kg) = (Salinity_target_min - Salinity_current) * PondVolume * 1.05</t>
  </si>
  <si>
    <t>Salinity: بالـ ppt (جزء في الألف)، PondVolume: بـ m³، 1.05: معامل أمان 5%</t>
  </si>
  <si>
    <t>kg (كجم ملح صخري/بحري)</t>
  </si>
  <si>
    <t>القاعدة: 1 كجم ملح لكل 1 م³ ماء يرفع الملوحة بمقدار 1 جزء بالألف (1 ppt)</t>
  </si>
  <si>
    <t>حاسبة جرعات المطهرات والأدوية البيطرية (Disinfectant &amp; Medication Calculator)</t>
  </si>
  <si>
    <t>معادلات الحجم بالفدان والمتر المكعب، التركيز المليوني، الكتلة الحية، وإضافات الأعلاف</t>
  </si>
  <si>
    <t>جرعة المعاملات المائية بالفدان (Pond Feddan-based Dosage)</t>
  </si>
  <si>
    <t>Dose_pond</t>
  </si>
  <si>
    <t>Dose = Feddans * RatePerFeddan</t>
  </si>
  <si>
    <t>Feddans: المساحة بالفدان، RatePerFeddan: الجرعة المقررة (كجم أو لتر/فدان)</t>
  </si>
  <si>
    <t>L / kg (لتر أو كجم)</t>
  </si>
  <si>
    <t>معاملات الأحواض الترابية المفتوحة (بيور أكواتيك، برمنجنات، كبريتات نحاس، أوكسي جارد، يوكا، بيوتوكس، برو W)</t>
  </si>
  <si>
    <t>التحويل بين الفدان والمتر المكعب (Volume-Feddan Conversion)</t>
  </si>
  <si>
    <t>Equiv_Feddan</t>
  </si>
  <si>
    <t>Feddans = Volume_m3 / 4200 ; Volume_liters = Feddans * 4,200,000</t>
  </si>
  <si>
    <t>Volume_m3: حجم الحوض بالمتر المكعب (بافتراض متوسط عمق 1 متر)</t>
  </si>
  <si>
    <t>فدان (Feddans)</t>
  </si>
  <si>
    <t>المعيار المساحي: 1 فدان = 4200 م² = حوالي 4200 م³ ماء عند عمق 1 متر</t>
  </si>
  <si>
    <t>جرعة التركيز المليوني للمطهرات (ppm / mg/L Dosage)</t>
  </si>
  <si>
    <t>Dose_ppm</t>
  </si>
  <si>
    <t>Total_mg = Volume_liters * ppm  =&gt;  Total_kg = Total_mg / 1,000,000</t>
  </si>
  <si>
    <t>Volume_liters: حجم الماء باللتر، ppm: التركيز الموصى به (ملغم/لتر)</t>
  </si>
  <si>
    <t>kg / g (كجم أو جرام)</t>
  </si>
  <si>
    <t>مطهرات الأحواض والخزانات والشباك: فورمالين (15-25 ppm)، كلورين (50-100 ppm)، يود (10-25 ppm)، تانيك أسيد</t>
  </si>
  <si>
    <t>جرعة التخفيف الحجمي (Dilution Ratio Dosage - e.g. Virocid)</t>
  </si>
  <si>
    <t>Dose_dilution</t>
  </si>
  <si>
    <t>Dose_mL = Volume_liters * (Dilution_Ratio_mL_per_L)</t>
  </si>
  <si>
    <t>Volume_liters: حجم ماء التعقيم، Dilution_Rate: 5 مل/لتر (1:200) أو 2.5 مل/لتر (1:400)</t>
  </si>
  <si>
    <t>mL / L (مل أو لتر)</t>
  </si>
  <si>
    <t>مطهرات الأمن الحيوي والمعدات ومغاطس التعقيم (فيروسيد: 1:200 للفيروسات | 1:400 للبكتيريا والفطريات)</t>
  </si>
  <si>
    <t>جرعة المضادات الحيوية للكتلة الحية (Oral Antibiotic Biomass Dose)</t>
  </si>
  <si>
    <t>Dose_antibiotic</t>
  </si>
  <si>
    <t>Total_mg = FishBiomass_kg * Dose_mg_per_kg  =&gt;  Total_g = Total_mg / 1000</t>
  </si>
  <si>
    <t>FishBiomass_kg: وزن الأسماك الحي (كجم)، Dose_mg_per_kg: الجرعة المقررة بالمجم/كجم</t>
  </si>
  <si>
    <t>grams (جرام مادة فعالة/يوم)</t>
  </si>
  <si>
    <t>العلاجات البيطرية الفموية بالعلف: أوكسي تتراسيكلين (50-55)، فلورفينيكول (50)، نيومايسين (50)، إريثرومايسين (50)، أكوازين (30)</t>
  </si>
  <si>
    <t>جرعة إضافات الأعلاف والبروبيوتيك (Feed Additive Dosage)</t>
  </si>
  <si>
    <t>Dose_feed</t>
  </si>
  <si>
    <t>Total_g = FeedBatch_kg * Dose_g_per_kg ; Total_kg = FeedBatch_ton * Dose_kg_per_ton</t>
  </si>
  <si>
    <t>FeedBatch: كمية العلف المراد خلطها، Dose: معدل الإضافة للطن أو الكيلو</t>
  </si>
  <si>
    <t>kg / g (كجم أو جرام خلط)</t>
  </si>
  <si>
    <t>إضافات الأعلاف: فيتامين C (1 جم/كجم)، بروت F (200-500 جم/طن)، مين مكس (1-2 جم/كجم)، جروفست (0.5-1 كجم/طن)، مولد نيل، أوكسي نيل</t>
  </si>
  <si>
    <t>معايير تقييم جودة مياه الأحواض في سجل المزرعة (Farm Log Book Scoring)</t>
  </si>
  <si>
    <t>خوارزمية احتساب المؤشر البيئي الشامل بدلالة الأكسجين والـ pH ودرجة الحرارة</t>
  </si>
  <si>
    <t>مؤشر جودة المياه الإجمالي (Overall Water Quality Score)</t>
  </si>
  <si>
    <t>Score %</t>
  </si>
  <si>
    <t>Score % = ( SUM( ParameterPoints ) / TotalEvaluated ) * 100</t>
  </si>
  <si>
    <t>ParameterPoints: نقاط كل معيار (1.0 مثالي، 0.5 مقبول، 0 غير مناسب)</t>
  </si>
  <si>
    <t>تقييم الحالة البيئية للحوض: ممتاز (&gt;=80%)، جيد (&gt;=50%)، رديء (&lt;50%)</t>
  </si>
  <si>
    <t>توزيع نقاط المعايير البيئية (Parameter Point Weighting)</t>
  </si>
  <si>
    <t>Pts</t>
  </si>
  <si>
    <t>Pts = piecewise_eval(DO: 5-7 -&gt; 1.0, 4-8 -&gt; 0.5 | pH: 7-8 -&gt; 1.0, 6.5-8.5 -&gt; 0.5 | Temp: 24-28 -&gt; 1.0, 22-30 -&gt; 0.5)</t>
  </si>
  <si>
    <t>DO, pH, Temperature: القياسات اليومية المسجلة بسجل الحوض</t>
  </si>
  <si>
    <t>نقاط (0.0 - 1.0)</t>
  </si>
  <si>
    <t>معايير التحمل الفسيولوجي المعتمدة لأسماك المياه الدافئة في الاستزراع المكثف</t>
  </si>
  <si>
    <t>الجدول الشامل المجمع لكافة المعادلات الحسابية — منصة أكوا سوفت AQUASoft</t>
  </si>
  <si>
    <t>دليل علمي موحد يضم 54 معادلة وخوارزمية رياضية وفيزيائية وبيولوجية عبر كافة الأدوات</t>
  </si>
  <si>
    <t>صيغة إكسيل النموذجية</t>
  </si>
  <si>
    <t>المدخلات والمتغيرات</t>
  </si>
  <si>
    <t>التطبيق والملاحظات العلمية</t>
  </si>
  <si>
    <t>حاسبة الأمونيا (ammonia.html)</t>
  </si>
  <si>
    <t>حاسبة الأكسجين (oxygen.html)</t>
  </si>
  <si>
    <t>حاسبة العلف (feed.html)</t>
  </si>
  <si>
    <t>تركيب الأعلاف (feed-formulation.html)</t>
  </si>
  <si>
    <t>تصحيح المياه (water-corrector.html)</t>
  </si>
  <si>
    <t>المطهرات والأدوية (disinfectans.html)</t>
  </si>
  <si>
    <t>سجل المزرعة (log-book.html)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</si>
</sst>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1"/>
      <color rgb="FF153644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0F172A"/>
      <name val="Consolas"/>
      <family val="2"/>
    </font>
    <font>
      <sz val="9"/>
      <color rgb="FF047857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B5D"/>
        <bgColor indexed="64"/>
      </patternFill>
    </fill>
    <fill>
      <patternFill patternType="solid">
        <fgColor rgb="FF68CF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rightToLeft="1" tabSelected="1" workbookViewId="0"/>
  </sheetViews>
  <sheetFormatPr defaultRowHeight="15"/>
  <cols>
    <col min="1" max="1" width="6.7109375" customWidth="1"/>
    <col min="2" max="2" width="38.7109375" customWidth="1"/>
    <col min="3" max="3" width="26.7109375" customWidth="1"/>
    <col min="4" max="4" width="45.7109375" customWidth="1"/>
    <col min="5" max="5" width="15.7109375" customWidth="1"/>
    <col min="6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>
        <v>1</v>
      </c>
      <c r="B5" s="5" t="s">
        <v>8</v>
      </c>
      <c r="C5" s="4" t="s">
        <v>9</v>
      </c>
      <c r="D5" s="5" t="s">
        <v>10</v>
      </c>
      <c r="E5" s="4" t="s">
        <v>11</v>
      </c>
      <c r="F5" s="6" t="s">
        <v>12</v>
      </c>
    </row>
    <row r="6" spans="1:6">
      <c r="A6" s="4">
        <v>2</v>
      </c>
      <c r="B6" s="5" t="s">
        <v>13</v>
      </c>
      <c r="C6" s="4" t="s">
        <v>14</v>
      </c>
      <c r="D6" s="5" t="s">
        <v>15</v>
      </c>
      <c r="E6" s="4" t="s">
        <v>11</v>
      </c>
      <c r="F6" s="6" t="s">
        <v>16</v>
      </c>
    </row>
    <row r="7" spans="1:6">
      <c r="A7" s="4">
        <v>3</v>
      </c>
      <c r="B7" s="5" t="s">
        <v>17</v>
      </c>
      <c r="C7" s="4" t="s">
        <v>18</v>
      </c>
      <c r="D7" s="5" t="s">
        <v>19</v>
      </c>
      <c r="E7" s="4" t="s">
        <v>20</v>
      </c>
      <c r="F7" s="6" t="s">
        <v>21</v>
      </c>
    </row>
    <row r="8" spans="1:6">
      <c r="A8" s="4">
        <v>4</v>
      </c>
      <c r="B8" s="5" t="s">
        <v>22</v>
      </c>
      <c r="C8" s="4" t="s">
        <v>23</v>
      </c>
      <c r="D8" s="5" t="s">
        <v>24</v>
      </c>
      <c r="E8" s="4" t="s">
        <v>25</v>
      </c>
      <c r="F8" s="6" t="s">
        <v>26</v>
      </c>
    </row>
    <row r="9" spans="1:6">
      <c r="A9" s="4">
        <v>5</v>
      </c>
      <c r="B9" s="5" t="s">
        <v>27</v>
      </c>
      <c r="C9" s="4" t="s">
        <v>28</v>
      </c>
      <c r="D9" s="5" t="s">
        <v>29</v>
      </c>
      <c r="E9" s="4" t="s">
        <v>30</v>
      </c>
      <c r="F9" s="6" t="s">
        <v>31</v>
      </c>
    </row>
    <row r="10" spans="1:6">
      <c r="A10" s="4">
        <v>6</v>
      </c>
      <c r="B10" s="5" t="s">
        <v>32</v>
      </c>
      <c r="C10" s="4" t="s">
        <v>33</v>
      </c>
      <c r="D10" s="5" t="s">
        <v>34</v>
      </c>
      <c r="E10" s="4" t="s">
        <v>35</v>
      </c>
      <c r="F10" s="6" t="s">
        <v>36</v>
      </c>
    </row>
    <row r="11" spans="1:6">
      <c r="A11" s="4">
        <v>7</v>
      </c>
      <c r="B11" s="5" t="s">
        <v>37</v>
      </c>
      <c r="C11" s="4" t="s">
        <v>38</v>
      </c>
      <c r="D11" s="5" t="s">
        <v>39</v>
      </c>
      <c r="E11" s="4" t="s">
        <v>40</v>
      </c>
      <c r="F11" s="6" t="s">
        <v>41</v>
      </c>
    </row>
    <row r="12" spans="1:6">
      <c r="A12" s="4" t="s">
        <v>42</v>
      </c>
      <c r="B12" s="5" t="s">
        <v>43</v>
      </c>
      <c r="C12" s="4" t="s">
        <v>44</v>
      </c>
      <c r="D12" s="5" t="s">
        <v>45</v>
      </c>
      <c r="E12" s="4" t="s">
        <v>46</v>
      </c>
      <c r="F12" s="6" t="s">
        <v>47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48</v>
      </c>
      <c r="B1" s="1"/>
      <c r="C1" s="1"/>
      <c r="D1" s="1"/>
      <c r="E1" s="1"/>
      <c r="F1" s="1"/>
      <c r="G1" s="1"/>
      <c r="H1" s="1"/>
    </row>
    <row r="2" spans="1:8">
      <c r="A2" s="2" t="s">
        <v>49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57</v>
      </c>
      <c r="C5" s="4" t="s">
        <v>58</v>
      </c>
      <c r="D5" s="7" t="s">
        <v>59</v>
      </c>
      <c r="E5" s="8">
        <f>B5 + 273.2</f>
        <v>0</v>
      </c>
      <c r="F5" s="5" t="s">
        <v>60</v>
      </c>
      <c r="G5" s="4" t="s">
        <v>61</v>
      </c>
      <c r="H5" s="5" t="s">
        <v>62</v>
      </c>
    </row>
    <row r="6" spans="1:8">
      <c r="A6" s="9">
        <v>2</v>
      </c>
      <c r="B6" s="10" t="s">
        <v>63</v>
      </c>
      <c r="C6" s="9" t="s">
        <v>64</v>
      </c>
      <c r="D6" s="7" t="s">
        <v>65</v>
      </c>
      <c r="E6" s="8">
        <f>(19.973 * B6) / (1000 - 1.2005109 * B6)</f>
        <v>0</v>
      </c>
      <c r="F6" s="10" t="s">
        <v>66</v>
      </c>
      <c r="G6" s="9" t="s">
        <v>67</v>
      </c>
      <c r="H6" s="10" t="s">
        <v>68</v>
      </c>
    </row>
    <row r="7" spans="1:8">
      <c r="A7" s="4">
        <v>3</v>
      </c>
      <c r="B7" s="5" t="s">
        <v>69</v>
      </c>
      <c r="C7" s="4" t="s">
        <v>70</v>
      </c>
      <c r="D7" s="7" t="s">
        <v>71</v>
      </c>
      <c r="E7" s="8">
        <f>0.0901821 + (2729.92 / Tk)</f>
        <v>0</v>
      </c>
      <c r="F7" s="5" t="s">
        <v>72</v>
      </c>
      <c r="G7" s="4" t="s">
        <v>73</v>
      </c>
      <c r="H7" s="5" t="s">
        <v>74</v>
      </c>
    </row>
    <row r="8" spans="1:8">
      <c r="A8" s="9">
        <v>4</v>
      </c>
      <c r="B8" s="10" t="s">
        <v>75</v>
      </c>
      <c r="C8" s="9" t="s">
        <v>76</v>
      </c>
      <c r="D8" s="7" t="s">
        <v>77</v>
      </c>
      <c r="E8" s="8">
        <f>pKa_fresh + (0.1552 - 0.0003142 * B5) * I</f>
        <v>0</v>
      </c>
      <c r="F8" s="10" t="s">
        <v>78</v>
      </c>
      <c r="G8" s="9" t="s">
        <v>73</v>
      </c>
      <c r="H8" s="10" t="s">
        <v>79</v>
      </c>
    </row>
    <row r="9" spans="1:8">
      <c r="A9" s="4">
        <v>5</v>
      </c>
      <c r="B9" s="5" t="s">
        <v>80</v>
      </c>
      <c r="C9" s="4" t="s">
        <v>81</v>
      </c>
      <c r="D9" s="7" t="s">
        <v>82</v>
      </c>
      <c r="E9" s="8">
        <f>1 / (10^(pKa - pH) + 1)</f>
        <v>0</v>
      </c>
      <c r="F9" s="5" t="s">
        <v>83</v>
      </c>
      <c r="G9" s="4" t="s">
        <v>84</v>
      </c>
      <c r="H9" s="5" t="s">
        <v>85</v>
      </c>
    </row>
    <row r="10" spans="1:8">
      <c r="A10" s="9">
        <v>6</v>
      </c>
      <c r="B10" s="10" t="s">
        <v>86</v>
      </c>
      <c r="C10" s="9" t="s">
        <v>87</v>
      </c>
      <c r="D10" s="7" t="s">
        <v>88</v>
      </c>
      <c r="E10" s="8">
        <f>TAN * f</f>
        <v>0</v>
      </c>
      <c r="F10" s="10" t="s">
        <v>89</v>
      </c>
      <c r="G10" s="9" t="s">
        <v>90</v>
      </c>
      <c r="H10" s="10" t="s">
        <v>91</v>
      </c>
    </row>
    <row r="11" spans="1:8">
      <c r="A11" s="4">
        <v>7</v>
      </c>
      <c r="B11" s="5" t="s">
        <v>92</v>
      </c>
      <c r="C11" s="4" t="s">
        <v>93</v>
      </c>
      <c r="D11" s="7" t="s">
        <v>94</v>
      </c>
      <c r="E11" s="8">
        <f>NH3_N * (17 / 14)</f>
        <v>0</v>
      </c>
      <c r="F11" s="5" t="s">
        <v>95</v>
      </c>
      <c r="G11" s="4" t="s">
        <v>90</v>
      </c>
      <c r="H11" s="5" t="s">
        <v>96</v>
      </c>
    </row>
    <row r="12" spans="1:8">
      <c r="A12" s="9">
        <v>8</v>
      </c>
      <c r="B12" s="10" t="s">
        <v>97</v>
      </c>
      <c r="C12" s="9" t="s">
        <v>98</v>
      </c>
      <c r="D12" s="7" t="s">
        <v>99</v>
      </c>
      <c r="E12" s="8">
        <f>f * 100</f>
        <v>0</v>
      </c>
      <c r="F12" s="10" t="s">
        <v>100</v>
      </c>
      <c r="G12" s="9" t="s">
        <v>101</v>
      </c>
      <c r="H12" s="10" t="s">
        <v>102</v>
      </c>
    </row>
    <row r="13" spans="1:8">
      <c r="A13" s="4">
        <v>9</v>
      </c>
      <c r="B13" s="5" t="s">
        <v>103</v>
      </c>
      <c r="C13" s="4" t="s">
        <v>104</v>
      </c>
      <c r="D13" s="7" t="s">
        <v>105</v>
      </c>
      <c r="E13" s="8">
        <f>((NH3_fresh - NH3_saline) / NH3_fresh) * 100</f>
        <v>0</v>
      </c>
      <c r="F13" s="5" t="s">
        <v>106</v>
      </c>
      <c r="G13" s="4" t="s">
        <v>101</v>
      </c>
      <c r="H13" s="5" t="s">
        <v>107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108</v>
      </c>
      <c r="B1" s="1"/>
      <c r="C1" s="1"/>
      <c r="D1" s="1"/>
      <c r="E1" s="1"/>
      <c r="F1" s="1"/>
      <c r="G1" s="1"/>
      <c r="H1" s="1"/>
    </row>
    <row r="2" spans="1:8">
      <c r="A2" s="2" t="s">
        <v>109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110</v>
      </c>
      <c r="C5" s="4" t="s">
        <v>111</v>
      </c>
      <c r="D5" s="7" t="s">
        <v>112</v>
      </c>
      <c r="E5" s="8">
        <f>300 + (2 * Temp)</f>
        <v>0</v>
      </c>
      <c r="F5" s="5" t="s">
        <v>113</v>
      </c>
      <c r="G5" s="4" t="s">
        <v>114</v>
      </c>
      <c r="H5" s="5" t="s">
        <v>115</v>
      </c>
    </row>
    <row r="6" spans="1:8">
      <c r="A6" s="9">
        <v>2</v>
      </c>
      <c r="B6" s="10" t="s">
        <v>116</v>
      </c>
      <c r="C6" s="9" t="s">
        <v>117</v>
      </c>
      <c r="D6" s="7" t="s">
        <v>118</v>
      </c>
      <c r="E6" s="8">
        <f>FishWeight * (300 + 2 * Temp) * FishTypeFactor</f>
        <v>0</v>
      </c>
      <c r="F6" s="10" t="s">
        <v>119</v>
      </c>
      <c r="G6" s="9" t="s">
        <v>120</v>
      </c>
      <c r="H6" s="10" t="s">
        <v>121</v>
      </c>
    </row>
    <row r="7" spans="1:8">
      <c r="A7" s="4">
        <v>3</v>
      </c>
      <c r="B7" s="5" t="s">
        <v>122</v>
      </c>
      <c r="C7" s="4" t="s">
        <v>123</v>
      </c>
      <c r="D7" s="7" t="s">
        <v>124</v>
      </c>
      <c r="E7" s="8">
        <f>FeedingRate * 500 * WaterQualityFactor</f>
        <v>0</v>
      </c>
      <c r="F7" s="5" t="s">
        <v>125</v>
      </c>
      <c r="G7" s="4" t="s">
        <v>120</v>
      </c>
      <c r="H7" s="5" t="s">
        <v>126</v>
      </c>
    </row>
    <row r="8" spans="1:8">
      <c r="A8" s="9">
        <v>4</v>
      </c>
      <c r="B8" s="10" t="s">
        <v>127</v>
      </c>
      <c r="C8" s="9" t="s">
        <v>128</v>
      </c>
      <c r="D8" s="7" t="s">
        <v>129</v>
      </c>
      <c r="E8" s="8">
        <f>C_fish + C_bacteria</f>
        <v>0</v>
      </c>
      <c r="F8" s="10" t="s">
        <v>130</v>
      </c>
      <c r="G8" s="9" t="s">
        <v>120</v>
      </c>
      <c r="H8" s="10" t="s">
        <v>131</v>
      </c>
    </row>
    <row r="9" spans="1:8">
      <c r="A9" s="4">
        <v>5</v>
      </c>
      <c r="B9" s="5" t="s">
        <v>132</v>
      </c>
      <c r="C9" s="4" t="s">
        <v>133</v>
      </c>
      <c r="D9" s="7" t="s">
        <v>134</v>
      </c>
      <c r="E9" s="8">
        <f>(C_hourly * 24) / 1000000</f>
        <v>0</v>
      </c>
      <c r="F9" s="5" t="s">
        <v>135</v>
      </c>
      <c r="G9" s="4" t="s">
        <v>136</v>
      </c>
      <c r="H9" s="5" t="s">
        <v>137</v>
      </c>
    </row>
    <row r="10" spans="1:8">
      <c r="A10" s="9">
        <v>6</v>
      </c>
      <c r="B10" s="10" t="s">
        <v>138</v>
      </c>
      <c r="C10" s="9" t="s">
        <v>139</v>
      </c>
      <c r="D10" s="7" t="s">
        <v>140</v>
      </c>
      <c r="E10" s="8">
        <f>5 * PondVolume * 1000</f>
        <v>0</v>
      </c>
      <c r="F10" s="10" t="s">
        <v>141</v>
      </c>
      <c r="G10" s="9" t="s">
        <v>142</v>
      </c>
      <c r="H10" s="10" t="s">
        <v>143</v>
      </c>
    </row>
    <row r="11" spans="1:8">
      <c r="A11" s="4">
        <v>7</v>
      </c>
      <c r="B11" s="5" t="s">
        <v>144</v>
      </c>
      <c r="C11" s="4" t="s">
        <v>145</v>
      </c>
      <c r="D11" s="7" t="s">
        <v>146</v>
      </c>
      <c r="E11" s="8">
        <f>FishCount / PondVolume</f>
        <v>0</v>
      </c>
      <c r="F11" s="5" t="s">
        <v>147</v>
      </c>
      <c r="G11" s="4" t="s">
        <v>148</v>
      </c>
      <c r="H11" s="5" t="s">
        <v>149</v>
      </c>
    </row>
    <row r="12" spans="1:8">
      <c r="A12" s="9">
        <v>8</v>
      </c>
      <c r="B12" s="10" t="s">
        <v>150</v>
      </c>
      <c r="C12" s="9" t="s">
        <v>151</v>
      </c>
      <c r="D12" s="7" t="s">
        <v>152</v>
      </c>
      <c r="E12" s="8">
        <f>C_daily / 24</f>
        <v>0</v>
      </c>
      <c r="F12" s="10" t="s">
        <v>153</v>
      </c>
      <c r="G12" s="9" t="s">
        <v>154</v>
      </c>
      <c r="H12" s="10" t="s">
        <v>155</v>
      </c>
    </row>
    <row r="13" spans="1:8">
      <c r="A13" s="4">
        <v>9</v>
      </c>
      <c r="B13" s="5" t="s">
        <v>156</v>
      </c>
      <c r="C13" s="4" t="s">
        <v>157</v>
      </c>
      <c r="D13" s="7" t="s">
        <v>158</v>
      </c>
      <c r="E13" s="8">
        <f>IF(Temp&gt;30, 24, IF(Cap_hr&gt;3, 12, IF(Cap_hr&gt;1.5, 8, 6)))</f>
        <v>0</v>
      </c>
      <c r="F13" s="5" t="s">
        <v>159</v>
      </c>
      <c r="G13" s="4" t="s">
        <v>160</v>
      </c>
      <c r="H13" s="5" t="s">
        <v>161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162</v>
      </c>
      <c r="B1" s="1"/>
      <c r="C1" s="1"/>
      <c r="D1" s="1"/>
      <c r="E1" s="1"/>
      <c r="F1" s="1"/>
      <c r="G1" s="1"/>
      <c r="H1" s="1"/>
    </row>
    <row r="2" spans="1:8">
      <c r="A2" s="2" t="s">
        <v>163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164</v>
      </c>
      <c r="C5" s="4" t="s">
        <v>165</v>
      </c>
      <c r="D5" s="7" t="s">
        <v>166</v>
      </c>
      <c r="E5" s="8">
        <f>(Weight_g * Count) / 1000</f>
        <v>0</v>
      </c>
      <c r="F5" s="5" t="s">
        <v>167</v>
      </c>
      <c r="G5" s="4" t="s">
        <v>168</v>
      </c>
      <c r="H5" s="5" t="s">
        <v>169</v>
      </c>
    </row>
    <row r="6" spans="1:8">
      <c r="A6" s="9">
        <v>2</v>
      </c>
      <c r="B6" s="10" t="s">
        <v>170</v>
      </c>
      <c r="C6" s="9" t="s">
        <v>171</v>
      </c>
      <c r="D6" s="7" t="s">
        <v>172</v>
      </c>
      <c r="E6" s="8">
        <f>R1 + (Temp - T1) * ((R2 - R1) / (T2 - T1))</f>
        <v>0</v>
      </c>
      <c r="F6" s="10" t="s">
        <v>173</v>
      </c>
      <c r="G6" s="9" t="s">
        <v>174</v>
      </c>
      <c r="H6" s="10" t="s">
        <v>175</v>
      </c>
    </row>
    <row r="7" spans="1:8">
      <c r="A7" s="4">
        <v>3</v>
      </c>
      <c r="B7" s="5" t="s">
        <v>176</v>
      </c>
      <c r="C7" s="4" t="s">
        <v>177</v>
      </c>
      <c r="D7" s="7" t="s">
        <v>178</v>
      </c>
      <c r="E7" s="8">
        <f>IF(AND(T&gt;=OptMin, T&lt;=OptMax), 1.0, IF(OR(T&lt;=OptMin-10, T&gt;OptMax+6), 0.3, ...))</f>
        <v>0</v>
      </c>
      <c r="F7" s="5" t="s">
        <v>179</v>
      </c>
      <c r="G7" s="4" t="s">
        <v>180</v>
      </c>
      <c r="H7" s="5" t="s">
        <v>181</v>
      </c>
    </row>
    <row r="8" spans="1:8">
      <c r="A8" s="9">
        <v>4</v>
      </c>
      <c r="B8" s="10" t="s">
        <v>182</v>
      </c>
      <c r="C8" s="9" t="s">
        <v>183</v>
      </c>
      <c r="D8" s="7" t="s">
        <v>184</v>
      </c>
      <c r="E8" s="8">
        <f>StageBaseRate * F_temp</f>
        <v>0</v>
      </c>
      <c r="F8" s="10" t="s">
        <v>185</v>
      </c>
      <c r="G8" s="9" t="s">
        <v>174</v>
      </c>
      <c r="H8" s="10" t="s">
        <v>186</v>
      </c>
    </row>
    <row r="9" spans="1:8">
      <c r="A9" s="4">
        <v>5</v>
      </c>
      <c r="B9" s="5" t="s">
        <v>187</v>
      </c>
      <c r="C9" s="4" t="s">
        <v>188</v>
      </c>
      <c r="D9" s="7" t="s">
        <v>189</v>
      </c>
      <c r="E9" s="8">
        <f>Biomass * (Rate / 100)</f>
        <v>0</v>
      </c>
      <c r="F9" s="5" t="s">
        <v>190</v>
      </c>
      <c r="G9" s="4" t="s">
        <v>191</v>
      </c>
      <c r="H9" s="5" t="s">
        <v>192</v>
      </c>
    </row>
    <row r="10" spans="1:8">
      <c r="A10" s="9">
        <v>6</v>
      </c>
      <c r="B10" s="10" t="s">
        <v>193</v>
      </c>
      <c r="C10" s="9" t="s">
        <v>194</v>
      </c>
      <c r="D10" s="7" t="s">
        <v>195</v>
      </c>
      <c r="E10" s="8">
        <f>DailyFeed * (ProteinPct / 100)</f>
        <v>0</v>
      </c>
      <c r="F10" s="10" t="s">
        <v>196</v>
      </c>
      <c r="G10" s="9" t="s">
        <v>197</v>
      </c>
      <c r="H10" s="10" t="s">
        <v>198</v>
      </c>
    </row>
    <row r="11" spans="1:8">
      <c r="A11" s="4">
        <v>7</v>
      </c>
      <c r="B11" s="5" t="s">
        <v>199</v>
      </c>
      <c r="C11" s="4" t="s">
        <v>200</v>
      </c>
      <c r="D11" s="7" t="s">
        <v>201</v>
      </c>
      <c r="E11" s="8">
        <f>ProteinMass * 0.16</f>
        <v>0</v>
      </c>
      <c r="F11" s="5" t="s">
        <v>202</v>
      </c>
      <c r="G11" s="4" t="s">
        <v>203</v>
      </c>
      <c r="H11" s="5" t="s">
        <v>204</v>
      </c>
    </row>
    <row r="12" spans="1:8">
      <c r="A12" s="9">
        <v>8</v>
      </c>
      <c r="B12" s="10" t="s">
        <v>205</v>
      </c>
      <c r="C12" s="9" t="s">
        <v>206</v>
      </c>
      <c r="D12" s="7" t="s">
        <v>207</v>
      </c>
      <c r="E12" s="8">
        <f>N_emission * 1.214</f>
        <v>0</v>
      </c>
      <c r="F12" s="10" t="s">
        <v>208</v>
      </c>
      <c r="G12" s="9" t="s">
        <v>209</v>
      </c>
      <c r="H12" s="10" t="s">
        <v>210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211</v>
      </c>
      <c r="B1" s="1"/>
      <c r="C1" s="1"/>
      <c r="D1" s="1"/>
      <c r="E1" s="1"/>
      <c r="F1" s="1"/>
      <c r="G1" s="1"/>
      <c r="H1" s="1"/>
    </row>
    <row r="2" spans="1:8">
      <c r="A2" s="2" t="s">
        <v>212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213</v>
      </c>
      <c r="C5" s="4" t="s">
        <v>214</v>
      </c>
      <c r="D5" s="7" t="s">
        <v>215</v>
      </c>
      <c r="E5" s="8">
        <f>BatchSize * (Pct_i / 100)</f>
        <v>0</v>
      </c>
      <c r="F5" s="5" t="s">
        <v>216</v>
      </c>
      <c r="G5" s="4" t="s">
        <v>168</v>
      </c>
      <c r="H5" s="5" t="s">
        <v>217</v>
      </c>
    </row>
    <row r="6" spans="1:8">
      <c r="A6" s="9">
        <v>2</v>
      </c>
      <c r="B6" s="10" t="s">
        <v>218</v>
      </c>
      <c r="C6" s="9" t="s">
        <v>219</v>
      </c>
      <c r="D6" s="7" t="s">
        <v>220</v>
      </c>
      <c r="E6" s="8">
        <f>SUMPRODUCT(CP_range, Pct_range) / 100</f>
        <v>0</v>
      </c>
      <c r="F6" s="10" t="s">
        <v>221</v>
      </c>
      <c r="G6" s="9" t="s">
        <v>101</v>
      </c>
      <c r="H6" s="10" t="s">
        <v>222</v>
      </c>
    </row>
    <row r="7" spans="1:8">
      <c r="A7" s="4">
        <v>3</v>
      </c>
      <c r="B7" s="5" t="s">
        <v>223</v>
      </c>
      <c r="C7" s="4" t="s">
        <v>224</v>
      </c>
      <c r="D7" s="7" t="s">
        <v>225</v>
      </c>
      <c r="E7" s="8">
        <f>SUMPRODUCT(DE_range, Pct_range) / 100</f>
        <v>0</v>
      </c>
      <c r="F7" s="5" t="s">
        <v>226</v>
      </c>
      <c r="G7" s="4" t="s">
        <v>227</v>
      </c>
      <c r="H7" s="5" t="s">
        <v>228</v>
      </c>
    </row>
    <row r="8" spans="1:8">
      <c r="A8" s="9">
        <v>4</v>
      </c>
      <c r="B8" s="10" t="s">
        <v>229</v>
      </c>
      <c r="C8" s="9" t="s">
        <v>230</v>
      </c>
      <c r="D8" s="7" t="s">
        <v>231</v>
      </c>
      <c r="E8" s="8">
        <f>SUMPRODUCT(ME_range, Pct_range) / 100</f>
        <v>0</v>
      </c>
      <c r="F8" s="10" t="s">
        <v>232</v>
      </c>
      <c r="G8" s="9" t="s">
        <v>227</v>
      </c>
      <c r="H8" s="10" t="s">
        <v>233</v>
      </c>
    </row>
    <row r="9" spans="1:8">
      <c r="A9" s="4">
        <v>5</v>
      </c>
      <c r="B9" s="5" t="s">
        <v>234</v>
      </c>
      <c r="C9" s="4" t="s">
        <v>235</v>
      </c>
      <c r="D9" s="7" t="s">
        <v>236</v>
      </c>
      <c r="E9" s="8">
        <f>SUMPRODUCT(TDN_range, Pct_range) / 100</f>
        <v>0</v>
      </c>
      <c r="F9" s="5" t="s">
        <v>237</v>
      </c>
      <c r="G9" s="4" t="s">
        <v>101</v>
      </c>
      <c r="H9" s="5" t="s">
        <v>238</v>
      </c>
    </row>
    <row r="10" spans="1:8">
      <c r="A10" s="9">
        <v>6</v>
      </c>
      <c r="B10" s="10" t="s">
        <v>239</v>
      </c>
      <c r="C10" s="9" t="s">
        <v>240</v>
      </c>
      <c r="D10" s="7" t="s">
        <v>241</v>
      </c>
      <c r="E10" s="8">
        <f>SUMPRODUCT(EE_range, Pct_range) / 100</f>
        <v>0</v>
      </c>
      <c r="F10" s="10" t="s">
        <v>242</v>
      </c>
      <c r="G10" s="9" t="s">
        <v>101</v>
      </c>
      <c r="H10" s="10" t="s">
        <v>243</v>
      </c>
    </row>
    <row r="11" spans="1:8">
      <c r="A11" s="4">
        <v>7</v>
      </c>
      <c r="B11" s="5" t="s">
        <v>244</v>
      </c>
      <c r="C11" s="4" t="s">
        <v>245</v>
      </c>
      <c r="D11" s="7" t="s">
        <v>246</v>
      </c>
      <c r="E11" s="8">
        <f>SUMPRODUCT(CF_range, Pct_range) / 100</f>
        <v>0</v>
      </c>
      <c r="F11" s="5" t="s">
        <v>247</v>
      </c>
      <c r="G11" s="4" t="s">
        <v>101</v>
      </c>
      <c r="H11" s="5" t="s">
        <v>248</v>
      </c>
    </row>
    <row r="12" spans="1:8">
      <c r="A12" s="9">
        <v>8</v>
      </c>
      <c r="B12" s="10" t="s">
        <v>249</v>
      </c>
      <c r="C12" s="9" t="s">
        <v>250</v>
      </c>
      <c r="D12" s="7" t="s">
        <v>251</v>
      </c>
      <c r="E12" s="8">
        <f>SUMPRODUCT(Ca_range, Pct_range) / 100</f>
        <v>0</v>
      </c>
      <c r="F12" s="10" t="s">
        <v>252</v>
      </c>
      <c r="G12" s="9" t="s">
        <v>101</v>
      </c>
      <c r="H12" s="10" t="s">
        <v>253</v>
      </c>
    </row>
    <row r="13" spans="1:8">
      <c r="A13" s="4">
        <v>9</v>
      </c>
      <c r="B13" s="5" t="s">
        <v>254</v>
      </c>
      <c r="C13" s="4" t="s">
        <v>255</v>
      </c>
      <c r="D13" s="7" t="s">
        <v>256</v>
      </c>
      <c r="E13" s="8">
        <f>SUMPRODUCT(P_range, Pct_range) / 100</f>
        <v>0</v>
      </c>
      <c r="F13" s="5" t="s">
        <v>257</v>
      </c>
      <c r="G13" s="4" t="s">
        <v>101</v>
      </c>
      <c r="H13" s="5" t="s">
        <v>258</v>
      </c>
    </row>
    <row r="14" spans="1:8">
      <c r="A14" s="9">
        <v>10</v>
      </c>
      <c r="B14" s="10" t="s">
        <v>259</v>
      </c>
      <c r="C14" s="9" t="s">
        <v>260</v>
      </c>
      <c r="D14" s="7" t="s">
        <v>261</v>
      </c>
      <c r="E14" s="8">
        <f>SUMPRODUCT(Weight_range, PricePerKg_range)</f>
        <v>0</v>
      </c>
      <c r="F14" s="10" t="s">
        <v>262</v>
      </c>
      <c r="G14" s="9" t="s">
        <v>263</v>
      </c>
      <c r="H14" s="10" t="s">
        <v>264</v>
      </c>
    </row>
    <row r="15" spans="1:8">
      <c r="A15" s="4">
        <v>11</v>
      </c>
      <c r="B15" s="5" t="s">
        <v>265</v>
      </c>
      <c r="C15" s="4" t="s">
        <v>266</v>
      </c>
      <c r="D15" s="7" t="s">
        <v>267</v>
      </c>
      <c r="E15" s="8">
        <f>Cost_batch / BatchSize</f>
        <v>0</v>
      </c>
      <c r="F15" s="5" t="s">
        <v>268</v>
      </c>
      <c r="G15" s="4" t="s">
        <v>269</v>
      </c>
      <c r="H15" s="5" t="s">
        <v>270</v>
      </c>
    </row>
    <row r="16" spans="1:8">
      <c r="A16" s="9">
        <v>12</v>
      </c>
      <c r="B16" s="10" t="s">
        <v>271</v>
      </c>
      <c r="C16" s="9" t="s">
        <v>272</v>
      </c>
      <c r="D16" s="7" t="s">
        <v>273</v>
      </c>
      <c r="E16" s="8">
        <f>Cost_kg * 1000</f>
        <v>0</v>
      </c>
      <c r="F16" s="10" t="s">
        <v>274</v>
      </c>
      <c r="G16" s="9" t="s">
        <v>275</v>
      </c>
      <c r="H16" s="10" t="s">
        <v>276</v>
      </c>
    </row>
    <row r="17" spans="1:8">
      <c r="A17" s="4">
        <v>13</v>
      </c>
      <c r="B17" s="5" t="s">
        <v>277</v>
      </c>
      <c r="C17" s="4" t="s">
        <v>278</v>
      </c>
      <c r="D17" s="7" t="s">
        <v>279</v>
      </c>
      <c r="E17" s="8">
        <f>ABS(TargetCP - CP2)</f>
        <v>0</v>
      </c>
      <c r="F17" s="5" t="s">
        <v>280</v>
      </c>
      <c r="G17" s="4" t="s">
        <v>281</v>
      </c>
      <c r="H17" s="5" t="s">
        <v>282</v>
      </c>
    </row>
    <row r="18" spans="1:8">
      <c r="A18" s="9">
        <v>14</v>
      </c>
      <c r="B18" s="10" t="s">
        <v>283</v>
      </c>
      <c r="C18" s="9" t="s">
        <v>284</v>
      </c>
      <c r="D18" s="7" t="s">
        <v>285</v>
      </c>
      <c r="E18" s="8">
        <f>ABS(CP1 - TargetCP)</f>
        <v>0</v>
      </c>
      <c r="F18" s="10" t="s">
        <v>286</v>
      </c>
      <c r="G18" s="9" t="s">
        <v>281</v>
      </c>
      <c r="H18" s="10" t="s">
        <v>287</v>
      </c>
    </row>
    <row r="19" spans="1:8">
      <c r="A19" s="4">
        <v>15</v>
      </c>
      <c r="B19" s="5" t="s">
        <v>288</v>
      </c>
      <c r="C19" s="4" t="s">
        <v>289</v>
      </c>
      <c r="D19" s="7" t="s">
        <v>290</v>
      </c>
      <c r="E19" s="8">
        <f>(Parts1 / (Parts1 + Parts2)) * 100</f>
        <v>0</v>
      </c>
      <c r="F19" s="5" t="s">
        <v>291</v>
      </c>
      <c r="G19" s="4" t="s">
        <v>101</v>
      </c>
      <c r="H19" s="5" t="s">
        <v>292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293</v>
      </c>
      <c r="B1" s="1"/>
      <c r="C1" s="1"/>
      <c r="D1" s="1"/>
      <c r="E1" s="1"/>
      <c r="F1" s="1"/>
      <c r="G1" s="1"/>
      <c r="H1" s="1"/>
    </row>
    <row r="2" spans="1:8">
      <c r="A2" s="2" t="s">
        <v>294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295</v>
      </c>
      <c r="C5" s="4" t="s">
        <v>296</v>
      </c>
      <c r="D5" s="7" t="s">
        <v>297</v>
      </c>
      <c r="E5" s="8">
        <f>300 + (2.5 * Temp)</f>
        <v>0</v>
      </c>
      <c r="F5" s="5" t="s">
        <v>298</v>
      </c>
      <c r="G5" s="4" t="s">
        <v>114</v>
      </c>
      <c r="H5" s="5" t="s">
        <v>299</v>
      </c>
    </row>
    <row r="6" spans="1:8">
      <c r="A6" s="9">
        <v>2</v>
      </c>
      <c r="B6" s="10" t="s">
        <v>300</v>
      </c>
      <c r="C6" s="9" t="s">
        <v>301</v>
      </c>
      <c r="D6" s="7" t="s">
        <v>302</v>
      </c>
      <c r="E6" s="8">
        <f>1 / ( 10^( (0.09018 + 2729.92/(Temp+273.15)) - pH ) + 1 )</f>
        <v>0</v>
      </c>
      <c r="F6" s="10" t="s">
        <v>303</v>
      </c>
      <c r="G6" s="9" t="s">
        <v>84</v>
      </c>
      <c r="H6" s="10" t="s">
        <v>304</v>
      </c>
    </row>
    <row r="7" spans="1:8">
      <c r="A7" s="4">
        <v>3</v>
      </c>
      <c r="B7" s="5" t="s">
        <v>305</v>
      </c>
      <c r="C7" s="4" t="s">
        <v>306</v>
      </c>
      <c r="D7" s="7" t="s">
        <v>307</v>
      </c>
      <c r="E7" s="8">
        <f>((Current_NO3 - Target_NO3) / Current_NO3) * 100</f>
        <v>0</v>
      </c>
      <c r="F7" s="5" t="s">
        <v>308</v>
      </c>
      <c r="G7" s="4" t="s">
        <v>309</v>
      </c>
      <c r="H7" s="5" t="s">
        <v>310</v>
      </c>
    </row>
    <row r="8" spans="1:8">
      <c r="A8" s="9">
        <v>4</v>
      </c>
      <c r="B8" s="10" t="s">
        <v>311</v>
      </c>
      <c r="C8" s="9" t="s">
        <v>312</v>
      </c>
      <c r="D8" s="7" t="s">
        <v>313</v>
      </c>
      <c r="E8" s="8">
        <f>PondVolume * (Exch_Pct / 100)</f>
        <v>0</v>
      </c>
      <c r="F8" s="10" t="s">
        <v>314</v>
      </c>
      <c r="G8" s="9" t="s">
        <v>315</v>
      </c>
      <c r="H8" s="10" t="s">
        <v>316</v>
      </c>
    </row>
    <row r="9" spans="1:8">
      <c r="A9" s="4">
        <v>5</v>
      </c>
      <c r="B9" s="5" t="s">
        <v>317</v>
      </c>
      <c r="C9" s="4" t="s">
        <v>318</v>
      </c>
      <c r="D9" s="7" t="s">
        <v>319</v>
      </c>
      <c r="E9" s="8">
        <f>(Target_Sal - Current_Sal) * PondVolume * 1.05</f>
        <v>0</v>
      </c>
      <c r="F9" s="5" t="s">
        <v>320</v>
      </c>
      <c r="G9" s="4" t="s">
        <v>321</v>
      </c>
      <c r="H9" s="5" t="s">
        <v>322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323</v>
      </c>
      <c r="B1" s="1"/>
      <c r="C1" s="1"/>
      <c r="D1" s="1"/>
      <c r="E1" s="1"/>
      <c r="F1" s="1"/>
      <c r="G1" s="1"/>
      <c r="H1" s="1"/>
    </row>
    <row r="2" spans="1:8">
      <c r="A2" s="2" t="s">
        <v>324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325</v>
      </c>
      <c r="C5" s="4" t="s">
        <v>326</v>
      </c>
      <c r="D5" s="7" t="s">
        <v>327</v>
      </c>
      <c r="E5" s="8">
        <f>Feddans * RatePerFeddan</f>
        <v>0</v>
      </c>
      <c r="F5" s="5" t="s">
        <v>328</v>
      </c>
      <c r="G5" s="4" t="s">
        <v>329</v>
      </c>
      <c r="H5" s="5" t="s">
        <v>330</v>
      </c>
    </row>
    <row r="6" spans="1:8">
      <c r="A6" s="9">
        <v>2</v>
      </c>
      <c r="B6" s="10" t="s">
        <v>331</v>
      </c>
      <c r="C6" s="9" t="s">
        <v>332</v>
      </c>
      <c r="D6" s="7" t="s">
        <v>333</v>
      </c>
      <c r="E6" s="8">
        <f>Volume_m3 / 4200</f>
        <v>0</v>
      </c>
      <c r="F6" s="10" t="s">
        <v>334</v>
      </c>
      <c r="G6" s="9" t="s">
        <v>335</v>
      </c>
      <c r="H6" s="10" t="s">
        <v>336</v>
      </c>
    </row>
    <row r="7" spans="1:8">
      <c r="A7" s="4">
        <v>3</v>
      </c>
      <c r="B7" s="5" t="s">
        <v>337</v>
      </c>
      <c r="C7" s="4" t="s">
        <v>338</v>
      </c>
      <c r="D7" s="7" t="s">
        <v>339</v>
      </c>
      <c r="E7" s="8">
        <f>(Volume_Liters * ppm) / 1000000</f>
        <v>0</v>
      </c>
      <c r="F7" s="5" t="s">
        <v>340</v>
      </c>
      <c r="G7" s="4" t="s">
        <v>341</v>
      </c>
      <c r="H7" s="5" t="s">
        <v>342</v>
      </c>
    </row>
    <row r="8" spans="1:8">
      <c r="A8" s="9">
        <v>4</v>
      </c>
      <c r="B8" s="10" t="s">
        <v>343</v>
      </c>
      <c r="C8" s="9" t="s">
        <v>344</v>
      </c>
      <c r="D8" s="7" t="s">
        <v>345</v>
      </c>
      <c r="E8" s="8">
        <f>Volume_Liters * Dilution_Rate</f>
        <v>0</v>
      </c>
      <c r="F8" s="10" t="s">
        <v>346</v>
      </c>
      <c r="G8" s="9" t="s">
        <v>347</v>
      </c>
      <c r="H8" s="10" t="s">
        <v>348</v>
      </c>
    </row>
    <row r="9" spans="1:8">
      <c r="A9" s="4">
        <v>5</v>
      </c>
      <c r="B9" s="5" t="s">
        <v>349</v>
      </c>
      <c r="C9" s="4" t="s">
        <v>350</v>
      </c>
      <c r="D9" s="7" t="s">
        <v>351</v>
      </c>
      <c r="E9" s="8">
        <f>(FishBiomass_kg * Dose_mg_per_kg) / 1000</f>
        <v>0</v>
      </c>
      <c r="F9" s="5" t="s">
        <v>352</v>
      </c>
      <c r="G9" s="4" t="s">
        <v>353</v>
      </c>
      <c r="H9" s="5" t="s">
        <v>354</v>
      </c>
    </row>
    <row r="10" spans="1:8">
      <c r="A10" s="9">
        <v>6</v>
      </c>
      <c r="B10" s="10" t="s">
        <v>355</v>
      </c>
      <c r="C10" s="9" t="s">
        <v>356</v>
      </c>
      <c r="D10" s="7" t="s">
        <v>357</v>
      </c>
      <c r="E10" s="8">
        <f>FeedBatch_kg * Dose_g_per_kg</f>
        <v>0</v>
      </c>
      <c r="F10" s="10" t="s">
        <v>358</v>
      </c>
      <c r="G10" s="9" t="s">
        <v>359</v>
      </c>
      <c r="H10" s="10" t="s">
        <v>360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rightToLeft="1" workbookViewId="0"/>
  </sheetViews>
  <sheetFormatPr defaultRowHeight="15"/>
  <cols>
    <col min="1" max="1" width="5.7109375" customWidth="1"/>
    <col min="2" max="2" width="28.7109375" customWidth="1"/>
    <col min="3" max="3" width="10.7109375" customWidth="1"/>
    <col min="4" max="4" width="42.7109375" customWidth="1"/>
    <col min="5" max="5" width="38.7109375" customWidth="1"/>
    <col min="6" max="6" width="34.7109375" customWidth="1"/>
    <col min="7" max="7" width="16.7109375" customWidth="1"/>
    <col min="8" max="8" width="35.7109375" customWidth="1"/>
  </cols>
  <sheetData>
    <row r="1" spans="1:8">
      <c r="A1" s="1" t="s">
        <v>361</v>
      </c>
      <c r="B1" s="1"/>
      <c r="C1" s="1"/>
      <c r="D1" s="1"/>
      <c r="E1" s="1"/>
      <c r="F1" s="1"/>
      <c r="G1" s="1"/>
      <c r="H1" s="1"/>
    </row>
    <row r="2" spans="1:8">
      <c r="A2" s="2" t="s">
        <v>362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>
      <c r="A5" s="4">
        <v>1</v>
      </c>
      <c r="B5" s="5" t="s">
        <v>363</v>
      </c>
      <c r="C5" s="4" t="s">
        <v>364</v>
      </c>
      <c r="D5" s="7" t="s">
        <v>365</v>
      </c>
      <c r="E5" s="8">
        <f>(SUM(DO_pts, pH_pts, Temp_pts) / TotalParams) * 100</f>
        <v>0</v>
      </c>
      <c r="F5" s="5" t="s">
        <v>366</v>
      </c>
      <c r="G5" s="4" t="s">
        <v>101</v>
      </c>
      <c r="H5" s="5" t="s">
        <v>367</v>
      </c>
    </row>
    <row r="6" spans="1:8">
      <c r="A6" s="9">
        <v>2</v>
      </c>
      <c r="B6" s="10" t="s">
        <v>368</v>
      </c>
      <c r="C6" s="9" t="s">
        <v>369</v>
      </c>
      <c r="D6" s="7" t="s">
        <v>370</v>
      </c>
      <c r="E6" s="8">
        <f>IF(AND(Val&gt;=OptMin, Val&lt;=OptMax), 1.0, IF(AND(Val&gt;=AccMin, Val&lt;=AccMax), 0.5, 0.0))</f>
        <v>0</v>
      </c>
      <c r="F6" s="10" t="s">
        <v>371</v>
      </c>
      <c r="G6" s="9" t="s">
        <v>372</v>
      </c>
      <c r="H6" s="10" t="s">
        <v>373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8"/>
  <sheetViews>
    <sheetView rightToLeft="1" workbookViewId="0"/>
  </sheetViews>
  <sheetFormatPr defaultRowHeight="15"/>
  <cols>
    <col min="1" max="1" width="5.7109375" customWidth="1"/>
    <col min="2" max="2" width="24.7109375" customWidth="1"/>
    <col min="3" max="3" width="28.7109375" customWidth="1"/>
    <col min="4" max="4" width="10.7109375" customWidth="1"/>
    <col min="5" max="5" width="42.7109375" customWidth="1"/>
    <col min="6" max="6" width="38.7109375" customWidth="1"/>
    <col min="7" max="7" width="32.7109375" customWidth="1"/>
    <col min="8" max="8" width="16.7109375" customWidth="1"/>
    <col min="9" max="9" width="35.7109375" customWidth="1"/>
  </cols>
  <sheetData>
    <row r="1" spans="1:9">
      <c r="A1" s="1" t="s">
        <v>374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375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50</v>
      </c>
      <c r="D4" s="3" t="s">
        <v>51</v>
      </c>
      <c r="E4" s="3" t="s">
        <v>52</v>
      </c>
      <c r="F4" s="3" t="s">
        <v>376</v>
      </c>
      <c r="G4" s="3" t="s">
        <v>377</v>
      </c>
      <c r="H4" s="3" t="s">
        <v>55</v>
      </c>
      <c r="I4" s="3" t="s">
        <v>378</v>
      </c>
    </row>
    <row r="5" spans="1:9">
      <c r="A5" s="4">
        <v>1</v>
      </c>
      <c r="B5" s="4" t="s">
        <v>379</v>
      </c>
      <c r="C5" s="5" t="s">
        <v>57</v>
      </c>
      <c r="D5" s="4" t="s">
        <v>58</v>
      </c>
      <c r="E5" s="7" t="s">
        <v>59</v>
      </c>
      <c r="F5" s="8">
        <f>B5 + 273.2</f>
        <v>0</v>
      </c>
      <c r="G5" s="5" t="s">
        <v>60</v>
      </c>
      <c r="H5" s="4" t="s">
        <v>61</v>
      </c>
      <c r="I5" s="5" t="s">
        <v>62</v>
      </c>
    </row>
    <row r="6" spans="1:9">
      <c r="A6" s="9">
        <v>2</v>
      </c>
      <c r="B6" s="9" t="s">
        <v>379</v>
      </c>
      <c r="C6" s="10" t="s">
        <v>63</v>
      </c>
      <c r="D6" s="9" t="s">
        <v>64</v>
      </c>
      <c r="E6" s="7" t="s">
        <v>65</v>
      </c>
      <c r="F6" s="8">
        <f>(19.973 * B6) / (1000 - 1.2005109 * B6)</f>
        <v>0</v>
      </c>
      <c r="G6" s="10" t="s">
        <v>66</v>
      </c>
      <c r="H6" s="9" t="s">
        <v>67</v>
      </c>
      <c r="I6" s="10" t="s">
        <v>68</v>
      </c>
    </row>
    <row r="7" spans="1:9">
      <c r="A7" s="4">
        <v>3</v>
      </c>
      <c r="B7" s="4" t="s">
        <v>379</v>
      </c>
      <c r="C7" s="5" t="s">
        <v>69</v>
      </c>
      <c r="D7" s="4" t="s">
        <v>70</v>
      </c>
      <c r="E7" s="7" t="s">
        <v>71</v>
      </c>
      <c r="F7" s="8">
        <f>0.0901821 + (2729.92 / Tk)</f>
        <v>0</v>
      </c>
      <c r="G7" s="5" t="s">
        <v>72</v>
      </c>
      <c r="H7" s="4" t="s">
        <v>73</v>
      </c>
      <c r="I7" s="5" t="s">
        <v>74</v>
      </c>
    </row>
    <row r="8" spans="1:9">
      <c r="A8" s="9">
        <v>4</v>
      </c>
      <c r="B8" s="9" t="s">
        <v>379</v>
      </c>
      <c r="C8" s="10" t="s">
        <v>75</v>
      </c>
      <c r="D8" s="9" t="s">
        <v>76</v>
      </c>
      <c r="E8" s="7" t="s">
        <v>77</v>
      </c>
      <c r="F8" s="8">
        <f>pKa_fresh + (0.1552 - 0.0003142 * B5) * I</f>
        <v>0</v>
      </c>
      <c r="G8" s="10" t="s">
        <v>78</v>
      </c>
      <c r="H8" s="9" t="s">
        <v>73</v>
      </c>
      <c r="I8" s="10" t="s">
        <v>79</v>
      </c>
    </row>
    <row r="9" spans="1:9">
      <c r="A9" s="4">
        <v>5</v>
      </c>
      <c r="B9" s="4" t="s">
        <v>379</v>
      </c>
      <c r="C9" s="5" t="s">
        <v>80</v>
      </c>
      <c r="D9" s="4" t="s">
        <v>81</v>
      </c>
      <c r="E9" s="7" t="s">
        <v>82</v>
      </c>
      <c r="F9" s="8">
        <f>1 / (10^(pKa - pH) + 1)</f>
        <v>0</v>
      </c>
      <c r="G9" s="5" t="s">
        <v>83</v>
      </c>
      <c r="H9" s="4" t="s">
        <v>84</v>
      </c>
      <c r="I9" s="5" t="s">
        <v>85</v>
      </c>
    </row>
    <row r="10" spans="1:9">
      <c r="A10" s="9">
        <v>6</v>
      </c>
      <c r="B10" s="9" t="s">
        <v>379</v>
      </c>
      <c r="C10" s="10" t="s">
        <v>86</v>
      </c>
      <c r="D10" s="9" t="s">
        <v>87</v>
      </c>
      <c r="E10" s="7" t="s">
        <v>88</v>
      </c>
      <c r="F10" s="8">
        <f>TAN * f</f>
        <v>0</v>
      </c>
      <c r="G10" s="10" t="s">
        <v>89</v>
      </c>
      <c r="H10" s="9" t="s">
        <v>90</v>
      </c>
      <c r="I10" s="10" t="s">
        <v>91</v>
      </c>
    </row>
    <row r="11" spans="1:9">
      <c r="A11" s="4">
        <v>7</v>
      </c>
      <c r="B11" s="4" t="s">
        <v>379</v>
      </c>
      <c r="C11" s="5" t="s">
        <v>92</v>
      </c>
      <c r="D11" s="4" t="s">
        <v>93</v>
      </c>
      <c r="E11" s="7" t="s">
        <v>94</v>
      </c>
      <c r="F11" s="8">
        <f>NH3_N * (17 / 14)</f>
        <v>0</v>
      </c>
      <c r="G11" s="5" t="s">
        <v>95</v>
      </c>
      <c r="H11" s="4" t="s">
        <v>90</v>
      </c>
      <c r="I11" s="5" t="s">
        <v>96</v>
      </c>
    </row>
    <row r="12" spans="1:9">
      <c r="A12" s="9">
        <v>8</v>
      </c>
      <c r="B12" s="9" t="s">
        <v>379</v>
      </c>
      <c r="C12" s="10" t="s">
        <v>97</v>
      </c>
      <c r="D12" s="9" t="s">
        <v>98</v>
      </c>
      <c r="E12" s="7" t="s">
        <v>99</v>
      </c>
      <c r="F12" s="8">
        <f>f * 100</f>
        <v>0</v>
      </c>
      <c r="G12" s="10" t="s">
        <v>100</v>
      </c>
      <c r="H12" s="9" t="s">
        <v>101</v>
      </c>
      <c r="I12" s="10" t="s">
        <v>102</v>
      </c>
    </row>
    <row r="13" spans="1:9">
      <c r="A13" s="4">
        <v>9</v>
      </c>
      <c r="B13" s="4" t="s">
        <v>379</v>
      </c>
      <c r="C13" s="5" t="s">
        <v>103</v>
      </c>
      <c r="D13" s="4" t="s">
        <v>104</v>
      </c>
      <c r="E13" s="7" t="s">
        <v>105</v>
      </c>
      <c r="F13" s="8">
        <f>((NH3_fresh - NH3_saline) / NH3_fresh) * 100</f>
        <v>0</v>
      </c>
      <c r="G13" s="5" t="s">
        <v>106</v>
      </c>
      <c r="H13" s="4" t="s">
        <v>101</v>
      </c>
      <c r="I13" s="5" t="s">
        <v>107</v>
      </c>
    </row>
    <row r="14" spans="1:9">
      <c r="A14" s="9">
        <v>10</v>
      </c>
      <c r="B14" s="9" t="s">
        <v>380</v>
      </c>
      <c r="C14" s="10" t="s">
        <v>110</v>
      </c>
      <c r="D14" s="9" t="s">
        <v>111</v>
      </c>
      <c r="E14" s="7" t="s">
        <v>112</v>
      </c>
      <c r="F14" s="8">
        <f>300 + (2 * Temp)</f>
        <v>0</v>
      </c>
      <c r="G14" s="10" t="s">
        <v>113</v>
      </c>
      <c r="H14" s="9" t="s">
        <v>114</v>
      </c>
      <c r="I14" s="10" t="s">
        <v>115</v>
      </c>
    </row>
    <row r="15" spans="1:9">
      <c r="A15" s="4">
        <v>11</v>
      </c>
      <c r="B15" s="4" t="s">
        <v>380</v>
      </c>
      <c r="C15" s="5" t="s">
        <v>116</v>
      </c>
      <c r="D15" s="4" t="s">
        <v>117</v>
      </c>
      <c r="E15" s="7" t="s">
        <v>118</v>
      </c>
      <c r="F15" s="8">
        <f>FishWeight * (300 + 2 * Temp) * FishTypeFactor</f>
        <v>0</v>
      </c>
      <c r="G15" s="5" t="s">
        <v>119</v>
      </c>
      <c r="H15" s="4" t="s">
        <v>120</v>
      </c>
      <c r="I15" s="5" t="s">
        <v>121</v>
      </c>
    </row>
    <row r="16" spans="1:9">
      <c r="A16" s="9">
        <v>12</v>
      </c>
      <c r="B16" s="9" t="s">
        <v>380</v>
      </c>
      <c r="C16" s="10" t="s">
        <v>122</v>
      </c>
      <c r="D16" s="9" t="s">
        <v>123</v>
      </c>
      <c r="E16" s="7" t="s">
        <v>124</v>
      </c>
      <c r="F16" s="8">
        <f>FeedingRate * 500 * WaterQualityFactor</f>
        <v>0</v>
      </c>
      <c r="G16" s="10" t="s">
        <v>125</v>
      </c>
      <c r="H16" s="9" t="s">
        <v>120</v>
      </c>
      <c r="I16" s="10" t="s">
        <v>126</v>
      </c>
    </row>
    <row r="17" spans="1:9">
      <c r="A17" s="4">
        <v>13</v>
      </c>
      <c r="B17" s="4" t="s">
        <v>380</v>
      </c>
      <c r="C17" s="5" t="s">
        <v>127</v>
      </c>
      <c r="D17" s="4" t="s">
        <v>128</v>
      </c>
      <c r="E17" s="7" t="s">
        <v>129</v>
      </c>
      <c r="F17" s="8">
        <f>C_fish + C_bacteria</f>
        <v>0</v>
      </c>
      <c r="G17" s="5" t="s">
        <v>130</v>
      </c>
      <c r="H17" s="4" t="s">
        <v>120</v>
      </c>
      <c r="I17" s="5" t="s">
        <v>131</v>
      </c>
    </row>
    <row r="18" spans="1:9">
      <c r="A18" s="9">
        <v>14</v>
      </c>
      <c r="B18" s="9" t="s">
        <v>380</v>
      </c>
      <c r="C18" s="10" t="s">
        <v>132</v>
      </c>
      <c r="D18" s="9" t="s">
        <v>133</v>
      </c>
      <c r="E18" s="7" t="s">
        <v>134</v>
      </c>
      <c r="F18" s="8">
        <f>(C_hourly * 24) / 1000000</f>
        <v>0</v>
      </c>
      <c r="G18" s="10" t="s">
        <v>135</v>
      </c>
      <c r="H18" s="9" t="s">
        <v>136</v>
      </c>
      <c r="I18" s="10" t="s">
        <v>137</v>
      </c>
    </row>
    <row r="19" spans="1:9">
      <c r="A19" s="4">
        <v>15</v>
      </c>
      <c r="B19" s="4" t="s">
        <v>380</v>
      </c>
      <c r="C19" s="5" t="s">
        <v>138</v>
      </c>
      <c r="D19" s="4" t="s">
        <v>139</v>
      </c>
      <c r="E19" s="7" t="s">
        <v>140</v>
      </c>
      <c r="F19" s="8">
        <f>5 * PondVolume * 1000</f>
        <v>0</v>
      </c>
      <c r="G19" s="5" t="s">
        <v>141</v>
      </c>
      <c r="H19" s="4" t="s">
        <v>142</v>
      </c>
      <c r="I19" s="5" t="s">
        <v>143</v>
      </c>
    </row>
    <row r="20" spans="1:9">
      <c r="A20" s="9">
        <v>16</v>
      </c>
      <c r="B20" s="9" t="s">
        <v>380</v>
      </c>
      <c r="C20" s="10" t="s">
        <v>144</v>
      </c>
      <c r="D20" s="9" t="s">
        <v>145</v>
      </c>
      <c r="E20" s="7" t="s">
        <v>146</v>
      </c>
      <c r="F20" s="8">
        <f>FishCount / PondVolume</f>
        <v>0</v>
      </c>
      <c r="G20" s="10" t="s">
        <v>147</v>
      </c>
      <c r="H20" s="9" t="s">
        <v>148</v>
      </c>
      <c r="I20" s="10" t="s">
        <v>149</v>
      </c>
    </row>
    <row r="21" spans="1:9">
      <c r="A21" s="4">
        <v>17</v>
      </c>
      <c r="B21" s="4" t="s">
        <v>380</v>
      </c>
      <c r="C21" s="5" t="s">
        <v>150</v>
      </c>
      <c r="D21" s="4" t="s">
        <v>151</v>
      </c>
      <c r="E21" s="7" t="s">
        <v>152</v>
      </c>
      <c r="F21" s="8">
        <f>C_daily / 24</f>
        <v>0</v>
      </c>
      <c r="G21" s="5" t="s">
        <v>153</v>
      </c>
      <c r="H21" s="4" t="s">
        <v>154</v>
      </c>
      <c r="I21" s="5" t="s">
        <v>155</v>
      </c>
    </row>
    <row r="22" spans="1:9">
      <c r="A22" s="9">
        <v>18</v>
      </c>
      <c r="B22" s="9" t="s">
        <v>380</v>
      </c>
      <c r="C22" s="10" t="s">
        <v>156</v>
      </c>
      <c r="D22" s="9" t="s">
        <v>157</v>
      </c>
      <c r="E22" s="7" t="s">
        <v>158</v>
      </c>
      <c r="F22" s="8">
        <f>IF(Temp&gt;30, 24, IF(Cap_hr&gt;3, 12, IF(Cap_hr&gt;1.5, 8, 6)))</f>
        <v>0</v>
      </c>
      <c r="G22" s="10" t="s">
        <v>159</v>
      </c>
      <c r="H22" s="9" t="s">
        <v>160</v>
      </c>
      <c r="I22" s="10" t="s">
        <v>161</v>
      </c>
    </row>
    <row r="23" spans="1:9">
      <c r="A23" s="4">
        <v>19</v>
      </c>
      <c r="B23" s="4" t="s">
        <v>381</v>
      </c>
      <c r="C23" s="5" t="s">
        <v>164</v>
      </c>
      <c r="D23" s="4" t="s">
        <v>165</v>
      </c>
      <c r="E23" s="7" t="s">
        <v>166</v>
      </c>
      <c r="F23" s="8">
        <f>(Weight_g * Count) / 1000</f>
        <v>0</v>
      </c>
      <c r="G23" s="5" t="s">
        <v>167</v>
      </c>
      <c r="H23" s="4" t="s">
        <v>168</v>
      </c>
      <c r="I23" s="5" t="s">
        <v>169</v>
      </c>
    </row>
    <row r="24" spans="1:9">
      <c r="A24" s="9">
        <v>20</v>
      </c>
      <c r="B24" s="9" t="s">
        <v>381</v>
      </c>
      <c r="C24" s="10" t="s">
        <v>170</v>
      </c>
      <c r="D24" s="9" t="s">
        <v>171</v>
      </c>
      <c r="E24" s="7" t="s">
        <v>172</v>
      </c>
      <c r="F24" s="8">
        <f>R1 + (Temp - T1) * ((R2 - R1) / (T2 - T1))</f>
        <v>0</v>
      </c>
      <c r="G24" s="10" t="s">
        <v>173</v>
      </c>
      <c r="H24" s="9" t="s">
        <v>174</v>
      </c>
      <c r="I24" s="10" t="s">
        <v>175</v>
      </c>
    </row>
    <row r="25" spans="1:9">
      <c r="A25" s="4">
        <v>21</v>
      </c>
      <c r="B25" s="4" t="s">
        <v>381</v>
      </c>
      <c r="C25" s="5" t="s">
        <v>176</v>
      </c>
      <c r="D25" s="4" t="s">
        <v>177</v>
      </c>
      <c r="E25" s="7" t="s">
        <v>178</v>
      </c>
      <c r="F25" s="8">
        <f>IF(AND(T&gt;=OptMin, T&lt;=OptMax), 1.0, IF(OR(T&lt;=OptMin-10, T&gt;OptMax+6), 0.3, ...))</f>
        <v>0</v>
      </c>
      <c r="G25" s="5" t="s">
        <v>179</v>
      </c>
      <c r="H25" s="4" t="s">
        <v>180</v>
      </c>
      <c r="I25" s="5" t="s">
        <v>181</v>
      </c>
    </row>
    <row r="26" spans="1:9">
      <c r="A26" s="9">
        <v>22</v>
      </c>
      <c r="B26" s="9" t="s">
        <v>381</v>
      </c>
      <c r="C26" s="10" t="s">
        <v>182</v>
      </c>
      <c r="D26" s="9" t="s">
        <v>183</v>
      </c>
      <c r="E26" s="7" t="s">
        <v>184</v>
      </c>
      <c r="F26" s="8">
        <f>StageBaseRate * F_temp</f>
        <v>0</v>
      </c>
      <c r="G26" s="10" t="s">
        <v>185</v>
      </c>
      <c r="H26" s="9" t="s">
        <v>174</v>
      </c>
      <c r="I26" s="10" t="s">
        <v>186</v>
      </c>
    </row>
    <row r="27" spans="1:9">
      <c r="A27" s="4">
        <v>23</v>
      </c>
      <c r="B27" s="4" t="s">
        <v>381</v>
      </c>
      <c r="C27" s="5" t="s">
        <v>187</v>
      </c>
      <c r="D27" s="4" t="s">
        <v>188</v>
      </c>
      <c r="E27" s="7" t="s">
        <v>189</v>
      </c>
      <c r="F27" s="8">
        <f>Biomass * (Rate / 100)</f>
        <v>0</v>
      </c>
      <c r="G27" s="5" t="s">
        <v>190</v>
      </c>
      <c r="H27" s="4" t="s">
        <v>191</v>
      </c>
      <c r="I27" s="5" t="s">
        <v>192</v>
      </c>
    </row>
    <row r="28" spans="1:9">
      <c r="A28" s="9">
        <v>24</v>
      </c>
      <c r="B28" s="9" t="s">
        <v>381</v>
      </c>
      <c r="C28" s="10" t="s">
        <v>193</v>
      </c>
      <c r="D28" s="9" t="s">
        <v>194</v>
      </c>
      <c r="E28" s="7" t="s">
        <v>195</v>
      </c>
      <c r="F28" s="8">
        <f>DailyFeed * (ProteinPct / 100)</f>
        <v>0</v>
      </c>
      <c r="G28" s="10" t="s">
        <v>196</v>
      </c>
      <c r="H28" s="9" t="s">
        <v>197</v>
      </c>
      <c r="I28" s="10" t="s">
        <v>198</v>
      </c>
    </row>
    <row r="29" spans="1:9">
      <c r="A29" s="4">
        <v>25</v>
      </c>
      <c r="B29" s="4" t="s">
        <v>381</v>
      </c>
      <c r="C29" s="5" t="s">
        <v>199</v>
      </c>
      <c r="D29" s="4" t="s">
        <v>200</v>
      </c>
      <c r="E29" s="7" t="s">
        <v>201</v>
      </c>
      <c r="F29" s="8">
        <f>ProteinMass * 0.16</f>
        <v>0</v>
      </c>
      <c r="G29" s="5" t="s">
        <v>202</v>
      </c>
      <c r="H29" s="4" t="s">
        <v>203</v>
      </c>
      <c r="I29" s="5" t="s">
        <v>204</v>
      </c>
    </row>
    <row r="30" spans="1:9">
      <c r="A30" s="9">
        <v>26</v>
      </c>
      <c r="B30" s="9" t="s">
        <v>381</v>
      </c>
      <c r="C30" s="10" t="s">
        <v>205</v>
      </c>
      <c r="D30" s="9" t="s">
        <v>206</v>
      </c>
      <c r="E30" s="7" t="s">
        <v>207</v>
      </c>
      <c r="F30" s="8">
        <f>N_emission * 1.214</f>
        <v>0</v>
      </c>
      <c r="G30" s="10" t="s">
        <v>208</v>
      </c>
      <c r="H30" s="9" t="s">
        <v>209</v>
      </c>
      <c r="I30" s="10" t="s">
        <v>210</v>
      </c>
    </row>
    <row r="31" spans="1:9">
      <c r="A31" s="4">
        <v>27</v>
      </c>
      <c r="B31" s="4" t="s">
        <v>382</v>
      </c>
      <c r="C31" s="5" t="s">
        <v>213</v>
      </c>
      <c r="D31" s="4" t="s">
        <v>214</v>
      </c>
      <c r="E31" s="7" t="s">
        <v>215</v>
      </c>
      <c r="F31" s="8">
        <f>BatchSize * (Pct_i / 100)</f>
        <v>0</v>
      </c>
      <c r="G31" s="5" t="s">
        <v>216</v>
      </c>
      <c r="H31" s="4" t="s">
        <v>168</v>
      </c>
      <c r="I31" s="5" t="s">
        <v>217</v>
      </c>
    </row>
    <row r="32" spans="1:9">
      <c r="A32" s="9">
        <v>28</v>
      </c>
      <c r="B32" s="9" t="s">
        <v>382</v>
      </c>
      <c r="C32" s="10" t="s">
        <v>218</v>
      </c>
      <c r="D32" s="9" t="s">
        <v>219</v>
      </c>
      <c r="E32" s="7" t="s">
        <v>220</v>
      </c>
      <c r="F32" s="8">
        <f>SUMPRODUCT(CP_range, Pct_range) / 100</f>
        <v>0</v>
      </c>
      <c r="G32" s="10" t="s">
        <v>221</v>
      </c>
      <c r="H32" s="9" t="s">
        <v>101</v>
      </c>
      <c r="I32" s="10" t="s">
        <v>222</v>
      </c>
    </row>
    <row r="33" spans="1:9">
      <c r="A33" s="4">
        <v>29</v>
      </c>
      <c r="B33" s="4" t="s">
        <v>382</v>
      </c>
      <c r="C33" s="5" t="s">
        <v>223</v>
      </c>
      <c r="D33" s="4" t="s">
        <v>224</v>
      </c>
      <c r="E33" s="7" t="s">
        <v>225</v>
      </c>
      <c r="F33" s="8">
        <f>SUMPRODUCT(DE_range, Pct_range) / 100</f>
        <v>0</v>
      </c>
      <c r="G33" s="5" t="s">
        <v>226</v>
      </c>
      <c r="H33" s="4" t="s">
        <v>227</v>
      </c>
      <c r="I33" s="5" t="s">
        <v>228</v>
      </c>
    </row>
    <row r="34" spans="1:9">
      <c r="A34" s="9">
        <v>30</v>
      </c>
      <c r="B34" s="9" t="s">
        <v>382</v>
      </c>
      <c r="C34" s="10" t="s">
        <v>229</v>
      </c>
      <c r="D34" s="9" t="s">
        <v>230</v>
      </c>
      <c r="E34" s="7" t="s">
        <v>231</v>
      </c>
      <c r="F34" s="8">
        <f>SUMPRODUCT(ME_range, Pct_range) / 100</f>
        <v>0</v>
      </c>
      <c r="G34" s="10" t="s">
        <v>232</v>
      </c>
      <c r="H34" s="9" t="s">
        <v>227</v>
      </c>
      <c r="I34" s="10" t="s">
        <v>233</v>
      </c>
    </row>
    <row r="35" spans="1:9">
      <c r="A35" s="4">
        <v>31</v>
      </c>
      <c r="B35" s="4" t="s">
        <v>382</v>
      </c>
      <c r="C35" s="5" t="s">
        <v>234</v>
      </c>
      <c r="D35" s="4" t="s">
        <v>235</v>
      </c>
      <c r="E35" s="7" t="s">
        <v>236</v>
      </c>
      <c r="F35" s="8">
        <f>SUMPRODUCT(TDN_range, Pct_range) / 100</f>
        <v>0</v>
      </c>
      <c r="G35" s="5" t="s">
        <v>237</v>
      </c>
      <c r="H35" s="4" t="s">
        <v>101</v>
      </c>
      <c r="I35" s="5" t="s">
        <v>238</v>
      </c>
    </row>
    <row r="36" spans="1:9">
      <c r="A36" s="9">
        <v>32</v>
      </c>
      <c r="B36" s="9" t="s">
        <v>382</v>
      </c>
      <c r="C36" s="10" t="s">
        <v>239</v>
      </c>
      <c r="D36" s="9" t="s">
        <v>240</v>
      </c>
      <c r="E36" s="7" t="s">
        <v>241</v>
      </c>
      <c r="F36" s="8">
        <f>SUMPRODUCT(EE_range, Pct_range) / 100</f>
        <v>0</v>
      </c>
      <c r="G36" s="10" t="s">
        <v>242</v>
      </c>
      <c r="H36" s="9" t="s">
        <v>101</v>
      </c>
      <c r="I36" s="10" t="s">
        <v>243</v>
      </c>
    </row>
    <row r="37" spans="1:9">
      <c r="A37" s="4">
        <v>33</v>
      </c>
      <c r="B37" s="4" t="s">
        <v>382</v>
      </c>
      <c r="C37" s="5" t="s">
        <v>244</v>
      </c>
      <c r="D37" s="4" t="s">
        <v>245</v>
      </c>
      <c r="E37" s="7" t="s">
        <v>246</v>
      </c>
      <c r="F37" s="8">
        <f>SUMPRODUCT(CF_range, Pct_range) / 100</f>
        <v>0</v>
      </c>
      <c r="G37" s="5" t="s">
        <v>247</v>
      </c>
      <c r="H37" s="4" t="s">
        <v>101</v>
      </c>
      <c r="I37" s="5" t="s">
        <v>248</v>
      </c>
    </row>
    <row r="38" spans="1:9">
      <c r="A38" s="9">
        <v>34</v>
      </c>
      <c r="B38" s="9" t="s">
        <v>382</v>
      </c>
      <c r="C38" s="10" t="s">
        <v>249</v>
      </c>
      <c r="D38" s="9" t="s">
        <v>250</v>
      </c>
      <c r="E38" s="7" t="s">
        <v>251</v>
      </c>
      <c r="F38" s="8">
        <f>SUMPRODUCT(Ca_range, Pct_range) / 100</f>
        <v>0</v>
      </c>
      <c r="G38" s="10" t="s">
        <v>252</v>
      </c>
      <c r="H38" s="9" t="s">
        <v>101</v>
      </c>
      <c r="I38" s="10" t="s">
        <v>253</v>
      </c>
    </row>
    <row r="39" spans="1:9">
      <c r="A39" s="4">
        <v>35</v>
      </c>
      <c r="B39" s="4" t="s">
        <v>382</v>
      </c>
      <c r="C39" s="5" t="s">
        <v>254</v>
      </c>
      <c r="D39" s="4" t="s">
        <v>255</v>
      </c>
      <c r="E39" s="7" t="s">
        <v>256</v>
      </c>
      <c r="F39" s="8">
        <f>SUMPRODUCT(P_range, Pct_range) / 100</f>
        <v>0</v>
      </c>
      <c r="G39" s="5" t="s">
        <v>257</v>
      </c>
      <c r="H39" s="4" t="s">
        <v>101</v>
      </c>
      <c r="I39" s="5" t="s">
        <v>258</v>
      </c>
    </row>
    <row r="40" spans="1:9">
      <c r="A40" s="9">
        <v>36</v>
      </c>
      <c r="B40" s="9" t="s">
        <v>382</v>
      </c>
      <c r="C40" s="10" t="s">
        <v>259</v>
      </c>
      <c r="D40" s="9" t="s">
        <v>260</v>
      </c>
      <c r="E40" s="7" t="s">
        <v>261</v>
      </c>
      <c r="F40" s="8">
        <f>SUMPRODUCT(Weight_range, PricePerKg_range)</f>
        <v>0</v>
      </c>
      <c r="G40" s="10" t="s">
        <v>262</v>
      </c>
      <c r="H40" s="9" t="s">
        <v>263</v>
      </c>
      <c r="I40" s="10" t="s">
        <v>264</v>
      </c>
    </row>
    <row r="41" spans="1:9">
      <c r="A41" s="4">
        <v>37</v>
      </c>
      <c r="B41" s="4" t="s">
        <v>382</v>
      </c>
      <c r="C41" s="5" t="s">
        <v>265</v>
      </c>
      <c r="D41" s="4" t="s">
        <v>266</v>
      </c>
      <c r="E41" s="7" t="s">
        <v>267</v>
      </c>
      <c r="F41" s="8">
        <f>Cost_batch / BatchSize</f>
        <v>0</v>
      </c>
      <c r="G41" s="5" t="s">
        <v>268</v>
      </c>
      <c r="H41" s="4" t="s">
        <v>269</v>
      </c>
      <c r="I41" s="5" t="s">
        <v>270</v>
      </c>
    </row>
    <row r="42" spans="1:9">
      <c r="A42" s="9">
        <v>38</v>
      </c>
      <c r="B42" s="9" t="s">
        <v>382</v>
      </c>
      <c r="C42" s="10" t="s">
        <v>271</v>
      </c>
      <c r="D42" s="9" t="s">
        <v>272</v>
      </c>
      <c r="E42" s="7" t="s">
        <v>273</v>
      </c>
      <c r="F42" s="8">
        <f>Cost_kg * 1000</f>
        <v>0</v>
      </c>
      <c r="G42" s="10" t="s">
        <v>274</v>
      </c>
      <c r="H42" s="9" t="s">
        <v>275</v>
      </c>
      <c r="I42" s="10" t="s">
        <v>276</v>
      </c>
    </row>
    <row r="43" spans="1:9">
      <c r="A43" s="4">
        <v>39</v>
      </c>
      <c r="B43" s="4" t="s">
        <v>382</v>
      </c>
      <c r="C43" s="5" t="s">
        <v>277</v>
      </c>
      <c r="D43" s="4" t="s">
        <v>278</v>
      </c>
      <c r="E43" s="7" t="s">
        <v>279</v>
      </c>
      <c r="F43" s="8">
        <f>ABS(TargetCP - CP2)</f>
        <v>0</v>
      </c>
      <c r="G43" s="5" t="s">
        <v>280</v>
      </c>
      <c r="H43" s="4" t="s">
        <v>281</v>
      </c>
      <c r="I43" s="5" t="s">
        <v>282</v>
      </c>
    </row>
    <row r="44" spans="1:9">
      <c r="A44" s="9">
        <v>40</v>
      </c>
      <c r="B44" s="9" t="s">
        <v>382</v>
      </c>
      <c r="C44" s="10" t="s">
        <v>283</v>
      </c>
      <c r="D44" s="9" t="s">
        <v>284</v>
      </c>
      <c r="E44" s="7" t="s">
        <v>285</v>
      </c>
      <c r="F44" s="8">
        <f>ABS(CP1 - TargetCP)</f>
        <v>0</v>
      </c>
      <c r="G44" s="10" t="s">
        <v>286</v>
      </c>
      <c r="H44" s="9" t="s">
        <v>281</v>
      </c>
      <c r="I44" s="10" t="s">
        <v>287</v>
      </c>
    </row>
    <row r="45" spans="1:9">
      <c r="A45" s="4">
        <v>41</v>
      </c>
      <c r="B45" s="4" t="s">
        <v>382</v>
      </c>
      <c r="C45" s="5" t="s">
        <v>288</v>
      </c>
      <c r="D45" s="4" t="s">
        <v>289</v>
      </c>
      <c r="E45" s="7" t="s">
        <v>290</v>
      </c>
      <c r="F45" s="8">
        <f>(Parts1 / (Parts1 + Parts2)) * 100</f>
        <v>0</v>
      </c>
      <c r="G45" s="5" t="s">
        <v>291</v>
      </c>
      <c r="H45" s="4" t="s">
        <v>101</v>
      </c>
      <c r="I45" s="5" t="s">
        <v>292</v>
      </c>
    </row>
    <row r="46" spans="1:9">
      <c r="A46" s="9">
        <v>42</v>
      </c>
      <c r="B46" s="9" t="s">
        <v>383</v>
      </c>
      <c r="C46" s="10" t="s">
        <v>295</v>
      </c>
      <c r="D46" s="9" t="s">
        <v>296</v>
      </c>
      <c r="E46" s="7" t="s">
        <v>297</v>
      </c>
      <c r="F46" s="8">
        <f>300 + (2.5 * Temp)</f>
        <v>0</v>
      </c>
      <c r="G46" s="10" t="s">
        <v>298</v>
      </c>
      <c r="H46" s="9" t="s">
        <v>114</v>
      </c>
      <c r="I46" s="10" t="s">
        <v>299</v>
      </c>
    </row>
    <row r="47" spans="1:9">
      <c r="A47" s="4">
        <v>43</v>
      </c>
      <c r="B47" s="4" t="s">
        <v>383</v>
      </c>
      <c r="C47" s="5" t="s">
        <v>300</v>
      </c>
      <c r="D47" s="4" t="s">
        <v>301</v>
      </c>
      <c r="E47" s="7" t="s">
        <v>302</v>
      </c>
      <c r="F47" s="8">
        <f>1 / ( 10^( (0.09018 + 2729.92/(Temp+273.15)) - pH ) + 1 )</f>
        <v>0</v>
      </c>
      <c r="G47" s="5" t="s">
        <v>303</v>
      </c>
      <c r="H47" s="4" t="s">
        <v>84</v>
      </c>
      <c r="I47" s="5" t="s">
        <v>304</v>
      </c>
    </row>
    <row r="48" spans="1:9">
      <c r="A48" s="9">
        <v>44</v>
      </c>
      <c r="B48" s="9" t="s">
        <v>383</v>
      </c>
      <c r="C48" s="10" t="s">
        <v>305</v>
      </c>
      <c r="D48" s="9" t="s">
        <v>306</v>
      </c>
      <c r="E48" s="7" t="s">
        <v>307</v>
      </c>
      <c r="F48" s="8">
        <f>((Current_NO3 - Target_NO3) / Current_NO3) * 100</f>
        <v>0</v>
      </c>
      <c r="G48" s="10" t="s">
        <v>308</v>
      </c>
      <c r="H48" s="9" t="s">
        <v>309</v>
      </c>
      <c r="I48" s="10" t="s">
        <v>310</v>
      </c>
    </row>
    <row r="49" spans="1:9">
      <c r="A49" s="4">
        <v>45</v>
      </c>
      <c r="B49" s="4" t="s">
        <v>383</v>
      </c>
      <c r="C49" s="5" t="s">
        <v>311</v>
      </c>
      <c r="D49" s="4" t="s">
        <v>312</v>
      </c>
      <c r="E49" s="7" t="s">
        <v>313</v>
      </c>
      <c r="F49" s="8">
        <f>PondVolume * (Exch_Pct / 100)</f>
        <v>0</v>
      </c>
      <c r="G49" s="5" t="s">
        <v>314</v>
      </c>
      <c r="H49" s="4" t="s">
        <v>315</v>
      </c>
      <c r="I49" s="5" t="s">
        <v>316</v>
      </c>
    </row>
    <row r="50" spans="1:9">
      <c r="A50" s="9">
        <v>46</v>
      </c>
      <c r="B50" s="9" t="s">
        <v>383</v>
      </c>
      <c r="C50" s="10" t="s">
        <v>317</v>
      </c>
      <c r="D50" s="9" t="s">
        <v>318</v>
      </c>
      <c r="E50" s="7" t="s">
        <v>319</v>
      </c>
      <c r="F50" s="8">
        <f>(Target_Sal - Current_Sal) * PondVolume * 1.05</f>
        <v>0</v>
      </c>
      <c r="G50" s="10" t="s">
        <v>320</v>
      </c>
      <c r="H50" s="9" t="s">
        <v>321</v>
      </c>
      <c r="I50" s="10" t="s">
        <v>322</v>
      </c>
    </row>
    <row r="51" spans="1:9">
      <c r="A51" s="4">
        <v>47</v>
      </c>
      <c r="B51" s="4" t="s">
        <v>384</v>
      </c>
      <c r="C51" s="5" t="s">
        <v>325</v>
      </c>
      <c r="D51" s="4" t="s">
        <v>326</v>
      </c>
      <c r="E51" s="7" t="s">
        <v>327</v>
      </c>
      <c r="F51" s="8">
        <f>Feddans * RatePerFeddan</f>
        <v>0</v>
      </c>
      <c r="G51" s="5" t="s">
        <v>328</v>
      </c>
      <c r="H51" s="4" t="s">
        <v>329</v>
      </c>
      <c r="I51" s="5" t="s">
        <v>330</v>
      </c>
    </row>
    <row r="52" spans="1:9">
      <c r="A52" s="9">
        <v>48</v>
      </c>
      <c r="B52" s="9" t="s">
        <v>384</v>
      </c>
      <c r="C52" s="10" t="s">
        <v>331</v>
      </c>
      <c r="D52" s="9" t="s">
        <v>332</v>
      </c>
      <c r="E52" s="7" t="s">
        <v>333</v>
      </c>
      <c r="F52" s="8">
        <f>Volume_m3 / 4200</f>
        <v>0</v>
      </c>
      <c r="G52" s="10" t="s">
        <v>334</v>
      </c>
      <c r="H52" s="9" t="s">
        <v>335</v>
      </c>
      <c r="I52" s="10" t="s">
        <v>336</v>
      </c>
    </row>
    <row r="53" spans="1:9">
      <c r="A53" s="4">
        <v>49</v>
      </c>
      <c r="B53" s="4" t="s">
        <v>384</v>
      </c>
      <c r="C53" s="5" t="s">
        <v>337</v>
      </c>
      <c r="D53" s="4" t="s">
        <v>338</v>
      </c>
      <c r="E53" s="7" t="s">
        <v>339</v>
      </c>
      <c r="F53" s="8">
        <f>(Volume_Liters * ppm) / 1000000</f>
        <v>0</v>
      </c>
      <c r="G53" s="5" t="s">
        <v>340</v>
      </c>
      <c r="H53" s="4" t="s">
        <v>341</v>
      </c>
      <c r="I53" s="5" t="s">
        <v>342</v>
      </c>
    </row>
    <row r="54" spans="1:9">
      <c r="A54" s="9">
        <v>50</v>
      </c>
      <c r="B54" s="9" t="s">
        <v>384</v>
      </c>
      <c r="C54" s="10" t="s">
        <v>343</v>
      </c>
      <c r="D54" s="9" t="s">
        <v>344</v>
      </c>
      <c r="E54" s="7" t="s">
        <v>345</v>
      </c>
      <c r="F54" s="8">
        <f>Volume_Liters * Dilution_Rate</f>
        <v>0</v>
      </c>
      <c r="G54" s="10" t="s">
        <v>346</v>
      </c>
      <c r="H54" s="9" t="s">
        <v>347</v>
      </c>
      <c r="I54" s="10" t="s">
        <v>348</v>
      </c>
    </row>
    <row r="55" spans="1:9">
      <c r="A55" s="4">
        <v>51</v>
      </c>
      <c r="B55" s="4" t="s">
        <v>384</v>
      </c>
      <c r="C55" s="5" t="s">
        <v>349</v>
      </c>
      <c r="D55" s="4" t="s">
        <v>350</v>
      </c>
      <c r="E55" s="7" t="s">
        <v>351</v>
      </c>
      <c r="F55" s="8">
        <f>(FishBiomass_kg * Dose_mg_per_kg) / 1000</f>
        <v>0</v>
      </c>
      <c r="G55" s="5" t="s">
        <v>352</v>
      </c>
      <c r="H55" s="4" t="s">
        <v>353</v>
      </c>
      <c r="I55" s="5" t="s">
        <v>354</v>
      </c>
    </row>
    <row r="56" spans="1:9">
      <c r="A56" s="9">
        <v>52</v>
      </c>
      <c r="B56" s="9" t="s">
        <v>384</v>
      </c>
      <c r="C56" s="10" t="s">
        <v>355</v>
      </c>
      <c r="D56" s="9" t="s">
        <v>356</v>
      </c>
      <c r="E56" s="7" t="s">
        <v>357</v>
      </c>
      <c r="F56" s="8">
        <f>FeedBatch_kg * Dose_g_per_kg</f>
        <v>0</v>
      </c>
      <c r="G56" s="10" t="s">
        <v>358</v>
      </c>
      <c r="H56" s="9" t="s">
        <v>359</v>
      </c>
      <c r="I56" s="10" t="s">
        <v>360</v>
      </c>
    </row>
    <row r="57" spans="1:9">
      <c r="A57" s="4">
        <v>53</v>
      </c>
      <c r="B57" s="4" t="s">
        <v>385</v>
      </c>
      <c r="C57" s="5" t="s">
        <v>363</v>
      </c>
      <c r="D57" s="4" t="s">
        <v>364</v>
      </c>
      <c r="E57" s="7" t="s">
        <v>365</v>
      </c>
      <c r="F57" s="8">
        <f>(SUM(DO_pts, pH_pts, Temp_pts) / TotalParams) * 100</f>
        <v>0</v>
      </c>
      <c r="G57" s="5" t="s">
        <v>366</v>
      </c>
      <c r="H57" s="4" t="s">
        <v>101</v>
      </c>
      <c r="I57" s="5" t="s">
        <v>367</v>
      </c>
    </row>
    <row r="58" spans="1:9">
      <c r="A58" s="9">
        <v>54</v>
      </c>
      <c r="B58" s="9" t="s">
        <v>385</v>
      </c>
      <c r="C58" s="10" t="s">
        <v>368</v>
      </c>
      <c r="D58" s="9" t="s">
        <v>369</v>
      </c>
      <c r="E58" s="7" t="s">
        <v>370</v>
      </c>
      <c r="F58" s="8">
        <f>IF(AND(Val&gt;=OptMin, Val&lt;=OptMax), 1.0, IF(AND(Val&gt;=AccMin, Val&lt;=AccMax), 0.5, 0.0))</f>
        <v>0</v>
      </c>
      <c r="G58" s="10" t="s">
        <v>371</v>
      </c>
      <c r="H58" s="9" t="s">
        <v>372</v>
      </c>
      <c r="I58" s="10" t="s">
        <v>373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الفهرس العام</vt:lpstr>
      <vt:lpstr>الأمونيا السامة</vt:lpstr>
      <vt:lpstr>الأكسجين والتهوية</vt:lpstr>
      <vt:lpstr>كمية العلف</vt:lpstr>
      <vt:lpstr>تركيب الأعلاف</vt:lpstr>
      <vt:lpstr>تصحيح المياه</vt:lpstr>
      <vt:lpstr>المطهرات والأدوية</vt:lpstr>
      <vt:lpstr>سجل المزرعة</vt:lpstr>
      <vt:lpstr>جدول المعادلات المجمع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2026-10-12T11:49:11Z</dcterms:created>
  <dcterms:modified xsi:type="dcterms:W3CDTF">2026-10-12T11:49:11Z</dcterms:modified>
</cp:coreProperties>
</file>